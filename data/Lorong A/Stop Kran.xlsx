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23377C79-A47A-41A1-AAED-A0ABF4A4C28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op" sheetId="4" r:id="rId1"/>
    <sheet name="New" sheetId="3" r:id="rId2"/>
    <sheet name="Sheet1" sheetId="1" r:id="rId3"/>
    <sheet name="Plastik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20" i="3" l="1"/>
  <c r="H4" i="4"/>
  <c r="H19" i="3"/>
  <c r="H18" i="3"/>
  <c r="H17" i="3"/>
  <c r="H16" i="3"/>
  <c r="H5" i="3"/>
  <c r="H6" i="3"/>
  <c r="H7" i="3"/>
  <c r="H8" i="3"/>
  <c r="H9" i="3"/>
  <c r="H10" i="3"/>
  <c r="H11" i="3"/>
  <c r="H12" i="3"/>
  <c r="H13" i="3"/>
  <c r="H14" i="3"/>
  <c r="H15" i="3"/>
  <c r="H4" i="3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9E9BF77E-EABD-4779-AD76-396F3B354171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0C4AD8B9-4139-48F8-8469-4DBEBF33BD5B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B90F44E1-58EB-4E05-B62A-9035D3582F81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<sst xmlns="http://schemas.openxmlformats.org/spreadsheetml/2006/main" count="177" uniqueCount="148">
  <si>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</si>
  <si>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</si>
  <si>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</si>
  <si>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</si>
  <si>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</si>
  <si>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</si>
  <si>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</si>
  <si>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</si>
  <si>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STOP KRAN</t>
  </si>
  <si>
    <t>Stop Kran Owner Ball Valve Polos PVC 1/2</t>
  </si>
  <si>
    <t>Stop Kran Owner Ball Valve Polos PVC 3/4</t>
  </si>
  <si>
    <t>Stop Kran Oliq Ball Valve UPVC 1/2</t>
  </si>
  <si>
    <t>Stop Kran Yo Zuki Ball Valve White PVC 1/2</t>
  </si>
  <si>
    <t>Stop Kran Yo Zuki Ball Valve White PVC 3/4</t>
  </si>
  <si>
    <t>Stop Kran Yuta Ball Valve BVC 1/2</t>
  </si>
  <si>
    <t>Stop Kran Yuta Ball Valve BVC 3/4</t>
  </si>
  <si>
    <t>Stop Kran Yuta Ball Valve BVC 1"</t>
  </si>
  <si>
    <t>Stop Kran Dior Ball Valve 3/4</t>
  </si>
  <si>
    <t>Stop Kran Paviliun Italy Quality 3/4</t>
  </si>
  <si>
    <t>Stop Kran Viper Ball Valve Two pcs 3/4</t>
  </si>
  <si>
    <t>Stop Kran Flo Ball Valve PVC 3/4</t>
  </si>
  <si>
    <t>Stop Kran Haston Ball Valve 1/2</t>
  </si>
  <si>
    <t>Stop Kran Haston Ball Valve 3/4</t>
  </si>
  <si>
    <t>Stop Kran Haston Ball Valve 1"</t>
  </si>
  <si>
    <r>
      <t>Stop Kran Haston Ball Valve 1</t>
    </r>
    <r>
      <rPr>
        <sz val="11"/>
        <color theme="1"/>
        <rFont val="Calibri"/>
        <family val="2"/>
      </rPr>
      <t>½</t>
    </r>
  </si>
  <si>
    <t>Stop Kran Yuta Ball Valve Premium 3/4</t>
  </si>
  <si>
    <t>Stop Kran HSS Ball Valve 3/4</t>
  </si>
  <si>
    <t>Stop Kran MDN Ball Valve 3/4</t>
  </si>
  <si>
    <t>Stop Kran Kansas Ball Valve 3/4</t>
  </si>
  <si>
    <t>Stop Kran Vion Ball Valve 1¼</t>
  </si>
  <si>
    <t>Stop Kran GLX Ball Valve 1¼</t>
  </si>
  <si>
    <t>Stop Kran Onda Ball Valve PVC 1"</t>
  </si>
  <si>
    <t>Stop Kran Haston Ball Valve 2"</t>
  </si>
  <si>
    <t>WZ-TW</t>
  </si>
  <si>
    <t>XW-TW</t>
  </si>
  <si>
    <t>UZ-TW</t>
  </si>
  <si>
    <t>QZ-TW</t>
  </si>
  <si>
    <t>QRU-TW</t>
  </si>
  <si>
    <t>QZV-SCM</t>
  </si>
  <si>
    <t>Stop Kran Oliq Ball Valve UPVC 3/4</t>
  </si>
  <si>
    <t>RR-SCM</t>
  </si>
  <si>
    <t>VU-PJ</t>
  </si>
  <si>
    <t>XZ-TW</t>
  </si>
  <si>
    <t>QVU-CPM</t>
  </si>
  <si>
    <t>QQ-BUA</t>
  </si>
  <si>
    <t>QVU-SCM</t>
  </si>
  <si>
    <t>RQV-BUA</t>
  </si>
  <si>
    <t>SRU-DL</t>
  </si>
  <si>
    <t>STU-SCM</t>
  </si>
  <si>
    <t>WS-SSB</t>
  </si>
  <si>
    <t>QZU-BTR</t>
  </si>
  <si>
    <t>UUZ-GMP</t>
  </si>
  <si>
    <t>RSV-SMK</t>
  </si>
  <si>
    <t>QXU-DL</t>
  </si>
  <si>
    <t>RXR-BB</t>
  </si>
  <si>
    <t>UR-BUA</t>
  </si>
  <si>
    <t>STKRN77</t>
  </si>
  <si>
    <t>STKRN60</t>
  </si>
  <si>
    <t>STKRN61</t>
  </si>
  <si>
    <t>STKRN62</t>
  </si>
  <si>
    <t>STKRN63</t>
  </si>
  <si>
    <t>STKRN64</t>
  </si>
  <si>
    <t>STKRN65</t>
  </si>
  <si>
    <t>STKRN66</t>
  </si>
  <si>
    <t>STKRN67</t>
  </si>
  <si>
    <t>STKRN68</t>
  </si>
  <si>
    <t>STKRN69</t>
  </si>
  <si>
    <t>STKRN70</t>
  </si>
  <si>
    <t>STKRN71</t>
  </si>
  <si>
    <t>STKRN72</t>
  </si>
  <si>
    <t>STKRN73</t>
  </si>
  <si>
    <t>STKRN74</t>
  </si>
  <si>
    <t>STKRN75</t>
  </si>
  <si>
    <t>STKRN76</t>
  </si>
  <si>
    <t>STKRN78</t>
  </si>
  <si>
    <t>STKRN79</t>
  </si>
  <si>
    <t>STKRN80</t>
  </si>
  <si>
    <t>STKRN81</t>
  </si>
  <si>
    <t>STKRN82</t>
  </si>
  <si>
    <t>STKRN83</t>
  </si>
  <si>
    <t>STKRN84</t>
  </si>
  <si>
    <t>STOP KRAN PLASTIK</t>
  </si>
  <si>
    <t>STK92</t>
  </si>
  <si>
    <t>Stop Kran Plastik Calo 1/2</t>
  </si>
  <si>
    <t>QZ-JM</t>
  </si>
  <si>
    <t>STK93</t>
  </si>
  <si>
    <t>Stop Kran Plastik Kofuku 1/2</t>
  </si>
  <si>
    <t>XZ-SMK</t>
  </si>
  <si>
    <t>STK97</t>
  </si>
  <si>
    <t>Stop Kran Plastik Unnu 3/4</t>
  </si>
  <si>
    <t>QX-TRI</t>
  </si>
  <si>
    <t>STK98</t>
  </si>
  <si>
    <t>Stop Kran Plastik ASTM Kuning 3/4</t>
  </si>
  <si>
    <t>QZ-JT</t>
  </si>
  <si>
    <t>STK99</t>
  </si>
  <si>
    <t>Stop Kran Plastik Yuta 1</t>
  </si>
  <si>
    <t>RS-SCM</t>
  </si>
  <si>
    <t>PVC Foot Valve 3/4"</t>
  </si>
  <si>
    <t>PVC Ball Valve BVC 1"</t>
  </si>
  <si>
    <t>PVC Ball Valve BVC 1/2"</t>
  </si>
  <si>
    <t>PVC Ball Valve BVS 3/4"</t>
  </si>
  <si>
    <t>QUS-SCM</t>
  </si>
  <si>
    <t>QZU-SCM</t>
  </si>
  <si>
    <t>Yuta Ball Valve PVC BVOP 3/4"</t>
  </si>
  <si>
    <t>Yuta Gate Valve GT 1"</t>
  </si>
  <si>
    <t>WT-SCM</t>
  </si>
  <si>
    <t>QU-SCM</t>
  </si>
  <si>
    <t>QZX-SCM</t>
  </si>
  <si>
    <t>Unnu PVC Ball Valve PVBV 02 1"</t>
  </si>
  <si>
    <t>Unnu PVC Ball Valve PVBV 02 3/4"</t>
  </si>
  <si>
    <t>RV-TRI</t>
  </si>
  <si>
    <t>Onda Ball Valve PVC-BV 1/2"</t>
  </si>
  <si>
    <t>Onda Ball Valve PVC-BV 1"</t>
  </si>
  <si>
    <t>QUX-BB</t>
  </si>
  <si>
    <t>stop1</t>
  </si>
  <si>
    <t>stop2</t>
  </si>
  <si>
    <t>stop3</t>
  </si>
  <si>
    <t>stop4</t>
  </si>
  <si>
    <t>stop5</t>
  </si>
  <si>
    <t>stop6</t>
  </si>
  <si>
    <t>stop7</t>
  </si>
  <si>
    <t>stop8</t>
  </si>
  <si>
    <t>stop9</t>
  </si>
  <si>
    <t>stop10</t>
  </si>
  <si>
    <t>stop11</t>
  </si>
  <si>
    <t>stop12</t>
  </si>
  <si>
    <t>Check Valve Kuningan Flo 1/2</t>
  </si>
  <si>
    <t>Check Valve Kuningan Flo 3/4</t>
  </si>
  <si>
    <t>RT-SMK</t>
  </si>
  <si>
    <t>SU-SMK</t>
  </si>
  <si>
    <t>stop13</t>
  </si>
  <si>
    <t>stop14</t>
  </si>
  <si>
    <t>Unnu PVC Ball Valve PVBV 02 1/2"</t>
  </si>
  <si>
    <t>QQ-TRI</t>
  </si>
  <si>
    <t>QUX-TRI</t>
  </si>
  <si>
    <t>stop15</t>
  </si>
  <si>
    <t>Yuta Ball Valve BVS 1/2"</t>
  </si>
  <si>
    <t>RUW-SCM</t>
  </si>
  <si>
    <t>stop16</t>
  </si>
  <si>
    <t>Stop Kran Kuningan 1/2" Bonucci</t>
  </si>
  <si>
    <t>SU-SBA</t>
  </si>
  <si>
    <t>Kode Barang</t>
  </si>
  <si>
    <t>Gate Valve Yuta GT 125 1/2"</t>
  </si>
  <si>
    <t>Ball Valve Yuta FBS 1/2"</t>
  </si>
  <si>
    <t>WTU-SCM</t>
  </si>
  <si>
    <t>Float Valve YBF 3/4" + Bola</t>
  </si>
  <si>
    <t>XW-SCM</t>
  </si>
  <si>
    <t>stop17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</si>
</sst>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8">
    <xf numFmtId="0" fontId="0" fillId="0" borderId="0" xfId="0"/>
    <xf numFmtId="1" fontId="11" fillId="0" borderId="0" xfId="0" applyNumberFormat="1" applyFont="1"/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2" borderId="1" xfId="0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11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left" vertical="center"/>
    </xf>
    <xf numFmtId="164" fontId="13" fillId="3" borderId="1" xfId="0" applyNumberFormat="1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left" vertical="center"/>
    </xf>
    <xf numFmtId="0" fontId="10" fillId="0" borderId="0" xfId="0" applyFont="1"/>
    <xf numFmtId="0" fontId="11" fillId="3" borderId="1" xfId="0" applyFont="1" applyFill="1" applyBorder="1" applyAlignment="1">
      <alignment horizontal="left" vertical="center"/>
    </xf>
    <xf numFmtId="0" fontId="9" fillId="0" borderId="0" xfId="1"/>
    <xf numFmtId="1" fontId="9" fillId="0" borderId="0" xfId="1" applyNumberFormat="1"/>
    <xf numFmtId="0" fontId="15" fillId="0" borderId="0" xfId="1" applyFont="1" applyAlignment="1">
      <alignment horizontal="center" vertical="center"/>
    </xf>
    <xf numFmtId="164" fontId="9" fillId="0" borderId="0" xfId="1" applyNumberFormat="1" applyAlignment="1">
      <alignment horizontal="center" vertical="center"/>
    </xf>
    <xf numFmtId="0" fontId="15" fillId="0" borderId="0" xfId="1" applyFont="1"/>
    <xf numFmtId="0" fontId="15" fillId="4" borderId="2" xfId="1" applyFont="1" applyFill="1" applyBorder="1" applyAlignment="1">
      <alignment horizontal="center" vertical="center"/>
    </xf>
    <xf numFmtId="1" fontId="15" fillId="4" borderId="2" xfId="1" applyNumberFormat="1" applyFont="1" applyFill="1" applyBorder="1" applyAlignment="1">
      <alignment horizontal="center" vertical="center"/>
    </xf>
    <xf numFmtId="164" fontId="15" fillId="4" borderId="2" xfId="1" applyNumberFormat="1" applyFont="1" applyFill="1" applyBorder="1" applyAlignment="1">
      <alignment horizontal="center" vertical="center"/>
    </xf>
    <xf numFmtId="49" fontId="9" fillId="0" borderId="0" xfId="1" applyNumberFormat="1"/>
    <xf numFmtId="0" fontId="9" fillId="0" borderId="2" xfId="1" applyBorder="1" applyAlignment="1">
      <alignment horizontal="left" vertical="center"/>
    </xf>
    <xf numFmtId="164" fontId="9" fillId="0" borderId="2" xfId="1" applyNumberFormat="1" applyBorder="1" applyAlignment="1">
      <alignment horizontal="left" vertical="center"/>
    </xf>
    <xf numFmtId="164" fontId="9" fillId="0" borderId="0" xfId="1" applyNumberFormat="1"/>
    <xf numFmtId="0" fontId="8" fillId="0" borderId="2" xfId="1" applyFont="1" applyBorder="1" applyAlignment="1">
      <alignment horizontal="left" vertical="center"/>
    </xf>
    <xf numFmtId="0" fontId="9" fillId="0" borderId="2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42" fontId="9" fillId="0" borderId="0" xfId="1" applyNumberFormat="1" applyAlignment="1">
      <alignment horizontal="center" vertical="center"/>
    </xf>
    <xf numFmtId="42" fontId="15" fillId="4" borderId="2" xfId="1" applyNumberFormat="1" applyFont="1" applyFill="1" applyBorder="1" applyAlignment="1">
      <alignment horizontal="center" vertical="center"/>
    </xf>
    <xf numFmtId="42" fontId="9" fillId="0" borderId="2" xfId="1" applyNumberFormat="1" applyBorder="1" applyAlignment="1">
      <alignment horizontal="left" vertical="center"/>
    </xf>
    <xf numFmtId="42" fontId="9" fillId="0" borderId="0" xfId="1" applyNumberFormat="1"/>
    <xf numFmtId="0" fontId="7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0" xfId="1" applyFont="1"/>
    <xf numFmtId="0" fontId="9" fillId="5" borderId="0" xfId="1" applyFill="1"/>
    <xf numFmtId="0" fontId="5" fillId="0" borderId="0" xfId="1" applyFont="1"/>
    <xf numFmtId="0" fontId="3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4" fillId="6" borderId="2" xfId="1" applyFont="1" applyFill="1" applyBorder="1" applyAlignment="1">
      <alignment horizontal="left" vertical="center"/>
    </xf>
    <xf numFmtId="42" fontId="9" fillId="6" borderId="2" xfId="1" applyNumberFormat="1" applyFill="1" applyBorder="1" applyAlignment="1">
      <alignment horizontal="left" vertical="center"/>
    </xf>
    <xf numFmtId="0" fontId="9" fillId="6" borderId="2" xfId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left" vertical="center"/>
    </xf>
    <xf numFmtId="0" fontId="1" fillId="6" borderId="2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67D417B6-7F11-40D9-AB44-02B8AC7EFA1E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AD6A-A5AB-441F-A0F5-E5C5838DA00F}">
  <dimension ref="A1:J14"/>
  <sheetViews>
    <sheetView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10.140625" style="17" bestFit="1" customWidth="1"/>
    <col min="2" max="2" width="16.140625" style="17" customWidth="1"/>
    <col min="3" max="3" width="36.42578125" style="17" customWidth="1"/>
    <col min="4" max="4" width="14.7109375" style="35" customWidth="1"/>
    <col min="5" max="5" width="13.140625" style="17" customWidth="1"/>
    <col min="6" max="6" width="15.28515625" style="35" customWidth="1"/>
    <col min="7" max="7" width="9.140625" style="31" bestFit="1" customWidth="1"/>
    <col min="8" max="8" width="12.7109375" style="35" customWidth="1"/>
    <col min="9" max="16384" width="9.140625" style="17"/>
  </cols>
  <sheetData>
    <row r="1" spans="1:10" x14ac:dyDescent="0.25">
      <c r="B1" s="18"/>
      <c r="C1" s="19" t="s">
        <v>8</v>
      </c>
      <c r="D1" s="32"/>
      <c r="E1" s="20"/>
      <c r="F1" s="32"/>
      <c r="I1" s="39"/>
      <c r="J1" s="40"/>
    </row>
    <row r="2" spans="1:10" x14ac:dyDescent="0.25">
      <c r="B2" s="18"/>
      <c r="D2" s="32"/>
      <c r="E2" s="20"/>
      <c r="F2" s="32"/>
      <c r="J2" s="21"/>
    </row>
    <row r="3" spans="1:10" ht="20.100000000000001" customHeight="1" x14ac:dyDescent="0.25">
      <c r="A3" s="22" t="s">
        <v>1</v>
      </c>
      <c r="B3" s="23" t="s">
        <v>2</v>
      </c>
      <c r="C3" s="22" t="s">
        <v>3</v>
      </c>
      <c r="D3" s="33" t="s">
        <v>4</v>
      </c>
      <c r="E3" s="24" t="s">
        <v>5</v>
      </c>
      <c r="F3" s="33" t="s">
        <v>6</v>
      </c>
      <c r="G3" s="22" t="s">
        <v>7</v>
      </c>
      <c r="J3" s="25"/>
    </row>
    <row r="4" spans="1:10" x14ac:dyDescent="0.25">
      <c r="A4" s="41" t="s">
        <v>114</v>
      </c>
      <c r="B4" s="26">
        <v>778624</v>
      </c>
      <c r="C4" s="42" t="s">
        <v>139</v>
      </c>
      <c r="D4" s="34">
        <v>35000</v>
      </c>
      <c r="E4" s="42" t="s">
        <v>140</v>
      </c>
      <c r="F4" s="34">
        <v>65000</v>
      </c>
      <c r="G4" s="30">
        <v>40</v>
      </c>
      <c r="H4" s="35">
        <f>F4-D4</f>
        <v>30000</v>
      </c>
    </row>
    <row r="5" spans="1:10" x14ac:dyDescent="0.25">
      <c r="A5" s="29"/>
      <c r="B5" s="26"/>
      <c r="C5" s="29"/>
      <c r="D5" s="34"/>
      <c r="E5" s="29"/>
      <c r="F5" s="34"/>
      <c r="G5" s="30"/>
    </row>
    <row r="6" spans="1:10" x14ac:dyDescent="0.25">
      <c r="A6" s="29"/>
      <c r="B6" s="26"/>
      <c r="C6" s="29"/>
      <c r="D6" s="34"/>
      <c r="E6" s="29"/>
      <c r="F6" s="34"/>
      <c r="G6" s="30"/>
    </row>
    <row r="7" spans="1:10" x14ac:dyDescent="0.25">
      <c r="A7" s="29"/>
      <c r="B7" s="26"/>
      <c r="C7" s="29"/>
      <c r="D7" s="34"/>
      <c r="E7" s="29"/>
      <c r="F7" s="34"/>
      <c r="G7" s="30"/>
    </row>
    <row r="8" spans="1:10" x14ac:dyDescent="0.25">
      <c r="A8" s="29"/>
      <c r="B8" s="26"/>
      <c r="C8" s="29"/>
      <c r="D8" s="34"/>
      <c r="E8" s="29"/>
      <c r="F8" s="34"/>
      <c r="G8" s="30"/>
    </row>
    <row r="9" spans="1:10" x14ac:dyDescent="0.25">
      <c r="A9" s="29"/>
      <c r="B9" s="26"/>
      <c r="C9" s="29"/>
      <c r="D9" s="34"/>
      <c r="E9" s="29"/>
      <c r="F9" s="34"/>
      <c r="G9" s="30"/>
    </row>
    <row r="10" spans="1:10" x14ac:dyDescent="0.25">
      <c r="A10" s="29"/>
      <c r="B10" s="26"/>
      <c r="C10" s="29"/>
      <c r="D10" s="34"/>
      <c r="E10" s="29"/>
      <c r="F10" s="34"/>
      <c r="G10" s="30"/>
    </row>
    <row r="11" spans="1:10" x14ac:dyDescent="0.25">
      <c r="A11" s="29"/>
      <c r="B11" s="26"/>
      <c r="C11" s="29"/>
      <c r="D11" s="34"/>
      <c r="E11" s="29"/>
      <c r="F11" s="34"/>
      <c r="G11" s="30"/>
    </row>
    <row r="12" spans="1:10" x14ac:dyDescent="0.25">
      <c r="A12" s="29"/>
      <c r="B12" s="26"/>
      <c r="C12" s="29"/>
      <c r="D12" s="34"/>
      <c r="E12" s="29"/>
      <c r="F12" s="34"/>
      <c r="G12" s="30"/>
    </row>
    <row r="13" spans="1:10" x14ac:dyDescent="0.25">
      <c r="A13" s="26"/>
      <c r="B13" s="26"/>
      <c r="C13" s="26"/>
      <c r="D13" s="34"/>
      <c r="E13" s="26"/>
      <c r="F13" s="34"/>
      <c r="G13" s="30"/>
    </row>
    <row r="14" spans="1:10" x14ac:dyDescent="0.25">
      <c r="A14" s="26"/>
      <c r="B14" s="26"/>
      <c r="C14" s="26"/>
      <c r="D14" s="34"/>
      <c r="E14" s="26"/>
      <c r="F14" s="34"/>
      <c r="G14" s="30"/>
    </row>
  </sheetData>
  <conditionalFormatting sqref="A3">
    <cfRule type="duplicateValues" dxfId="26" priority="6"/>
    <cfRule type="duplicateValues" dxfId="25" priority="9"/>
  </conditionalFormatting>
  <conditionalFormatting sqref="A1:B3">
    <cfRule type="duplicateValues" dxfId="24" priority="4"/>
  </conditionalFormatting>
  <conditionalFormatting sqref="A1:B3 A5:B1048576 A4">
    <cfRule type="duplicateValues" dxfId="23" priority="3"/>
  </conditionalFormatting>
  <conditionalFormatting sqref="B2:B3">
    <cfRule type="duplicateValues" dxfId="22" priority="5"/>
  </conditionalFormatting>
  <conditionalFormatting sqref="B3">
    <cfRule type="duplicateValues" dxfId="21" priority="7"/>
    <cfRule type="duplicateValues" dxfId="20" priority="8"/>
  </conditionalFormatting>
  <conditionalFormatting sqref="B5:B12">
    <cfRule type="duplicateValues" dxfId="19" priority="18"/>
  </conditionalFormatting>
  <conditionalFormatting sqref="B4">
    <cfRule type="duplicateValues" dxfId="18" priority="1"/>
  </conditionalFormatting>
  <conditionalFormatting sqref="B4">
    <cfRule type="duplicateValues" dxfId="17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2FFB-7B1A-48DB-BC3B-3922ADA3805D}">
  <dimension ref="A1:K27"/>
  <sheetViews>
    <sheetView tabSelected="1" workbookViewId="0">
      <pane ySplit="3" topLeftCell="A4" activePane="bottomLeft" state="frozen"/>
      <selection pane="bottomLeft" activeCell="K15" sqref="K15"/>
    </sheetView>
  </sheetViews>
  <sheetFormatPr defaultRowHeight="15" x14ac:dyDescent="0.25"/>
  <cols>
    <col min="1" max="1" width="10.140625" style="17" bestFit="1" customWidth="1"/>
    <col min="2" max="2" width="16.140625" style="17" customWidth="1"/>
    <col min="3" max="3" width="37.28515625" style="17" customWidth="1"/>
    <col min="4" max="4" width="16.85546875" style="35" customWidth="1"/>
    <col min="5" max="5" width="15.5703125" style="17" customWidth="1"/>
    <col min="6" max="6" width="15.28515625" style="35" customWidth="1"/>
    <col min="7" max="7" width="9.140625" style="31" bestFit="1" customWidth="1"/>
    <col min="8" max="8" width="12.7109375" style="35" customWidth="1"/>
    <col min="9" max="16384" width="9.140625" style="17"/>
  </cols>
  <sheetData>
    <row r="1" spans="1:11" x14ac:dyDescent="0.25">
      <c r="B1" s="18"/>
      <c r="C1" s="19" t="s">
        <v>8</v>
      </c>
      <c r="D1" s="32"/>
      <c r="E1" s="20"/>
      <c r="F1" s="32"/>
      <c r="I1" s="39"/>
      <c r="J1" s="40"/>
    </row>
    <row r="2" spans="1:11" x14ac:dyDescent="0.25">
      <c r="B2" s="18"/>
      <c r="D2" s="32"/>
      <c r="E2" s="20"/>
      <c r="F2" s="32"/>
      <c r="J2" s="21"/>
    </row>
    <row r="3" spans="1:11" ht="20.100000000000001" customHeight="1" x14ac:dyDescent="0.25">
      <c r="A3" s="22" t="s">
        <v>1</v>
      </c>
      <c r="B3" s="23" t="s">
        <v>2</v>
      </c>
      <c r="C3" s="22" t="s">
        <v>3</v>
      </c>
      <c r="D3" s="33" t="s">
        <v>4</v>
      </c>
      <c r="E3" s="24" t="s">
        <v>141</v>
      </c>
      <c r="F3" s="33" t="s">
        <v>6</v>
      </c>
      <c r="G3" s="22" t="s">
        <v>7</v>
      </c>
      <c r="J3" s="25"/>
    </row>
    <row r="4" spans="1:11" x14ac:dyDescent="0.25">
      <c r="A4" s="29" t="s">
        <v>114</v>
      </c>
      <c r="B4" s="26">
        <v>798610</v>
      </c>
      <c r="C4" s="29" t="s">
        <v>97</v>
      </c>
      <c r="D4" s="34">
        <v>15300</v>
      </c>
      <c r="E4" s="29" t="s">
        <v>101</v>
      </c>
      <c r="F4" s="34">
        <v>38000</v>
      </c>
      <c r="G4" s="30">
        <v>38</v>
      </c>
      <c r="H4" s="35">
        <f>F4-D4</f>
        <v>22700</v>
      </c>
    </row>
    <row r="5" spans="1:11" x14ac:dyDescent="0.25">
      <c r="A5" s="29" t="s">
        <v>115</v>
      </c>
      <c r="B5" s="26">
        <v>798611</v>
      </c>
      <c r="C5" s="29" t="s">
        <v>98</v>
      </c>
      <c r="D5" s="34">
        <v>22000</v>
      </c>
      <c r="E5" s="29" t="s">
        <v>40</v>
      </c>
      <c r="F5" s="34">
        <v>55000</v>
      </c>
      <c r="G5" s="30">
        <v>8</v>
      </c>
      <c r="H5" s="35">
        <f t="shared" ref="H5:H20" si="0">F5-D5</f>
        <v>33000</v>
      </c>
    </row>
    <row r="6" spans="1:11" x14ac:dyDescent="0.25">
      <c r="A6" s="29" t="s">
        <v>116</v>
      </c>
      <c r="B6" s="26">
        <v>798612</v>
      </c>
      <c r="C6" s="29" t="s">
        <v>99</v>
      </c>
      <c r="D6" s="34">
        <v>10500</v>
      </c>
      <c r="E6" s="29" t="s">
        <v>102</v>
      </c>
      <c r="F6" s="34">
        <v>38000</v>
      </c>
      <c r="G6" s="30">
        <v>21</v>
      </c>
      <c r="H6" s="35">
        <f t="shared" si="0"/>
        <v>27500</v>
      </c>
    </row>
    <row r="7" spans="1:11" x14ac:dyDescent="0.25">
      <c r="A7" s="29" t="s">
        <v>117</v>
      </c>
      <c r="B7" s="26">
        <v>798613</v>
      </c>
      <c r="C7" s="29" t="s">
        <v>100</v>
      </c>
      <c r="D7" s="34">
        <v>34500</v>
      </c>
      <c r="E7" s="29" t="s">
        <v>48</v>
      </c>
      <c r="F7" s="34">
        <v>65000</v>
      </c>
      <c r="G7" s="30">
        <v>4</v>
      </c>
      <c r="H7" s="35">
        <f t="shared" si="0"/>
        <v>30500</v>
      </c>
    </row>
    <row r="8" spans="1:11" x14ac:dyDescent="0.25">
      <c r="A8" s="29" t="s">
        <v>118</v>
      </c>
      <c r="B8" s="26">
        <v>798614</v>
      </c>
      <c r="C8" s="46" t="s">
        <v>142</v>
      </c>
      <c r="D8" s="44">
        <v>74000</v>
      </c>
      <c r="E8" s="46" t="s">
        <v>105</v>
      </c>
      <c r="F8" s="44">
        <v>150000</v>
      </c>
      <c r="G8" s="45">
        <v>20</v>
      </c>
      <c r="H8" s="35">
        <f t="shared" si="0"/>
        <v>76000</v>
      </c>
    </row>
    <row r="9" spans="1:11" x14ac:dyDescent="0.25">
      <c r="A9" s="29" t="s">
        <v>119</v>
      </c>
      <c r="B9" s="26">
        <v>798615</v>
      </c>
      <c r="C9" s="29" t="s">
        <v>103</v>
      </c>
      <c r="D9" s="34">
        <v>15000</v>
      </c>
      <c r="E9" s="29" t="s">
        <v>106</v>
      </c>
      <c r="F9" s="34">
        <v>45000</v>
      </c>
      <c r="G9" s="30">
        <v>17</v>
      </c>
      <c r="H9" s="35">
        <f t="shared" si="0"/>
        <v>30000</v>
      </c>
    </row>
    <row r="10" spans="1:11" x14ac:dyDescent="0.25">
      <c r="A10" s="29" t="s">
        <v>120</v>
      </c>
      <c r="B10" s="26">
        <v>798616</v>
      </c>
      <c r="C10" s="46" t="s">
        <v>143</v>
      </c>
      <c r="D10" s="44">
        <v>74500</v>
      </c>
      <c r="E10" s="46" t="s">
        <v>144</v>
      </c>
      <c r="F10" s="44">
        <v>150000</v>
      </c>
      <c r="G10" s="45">
        <v>12</v>
      </c>
      <c r="H10" s="35">
        <f t="shared" si="0"/>
        <v>75500</v>
      </c>
    </row>
    <row r="11" spans="1:11" x14ac:dyDescent="0.25">
      <c r="A11" s="29" t="s">
        <v>121</v>
      </c>
      <c r="B11" s="26">
        <v>798617</v>
      </c>
      <c r="C11" s="29" t="s">
        <v>104</v>
      </c>
      <c r="D11" s="34">
        <v>108000</v>
      </c>
      <c r="E11" s="29" t="s">
        <v>107</v>
      </c>
      <c r="F11" s="34">
        <v>185000</v>
      </c>
      <c r="G11" s="30">
        <v>6</v>
      </c>
      <c r="H11" s="35">
        <f t="shared" si="0"/>
        <v>77000</v>
      </c>
    </row>
    <row r="12" spans="1:11" x14ac:dyDescent="0.25">
      <c r="A12" s="29" t="s">
        <v>122</v>
      </c>
      <c r="B12" s="26">
        <v>798618</v>
      </c>
      <c r="C12" s="29" t="s">
        <v>108</v>
      </c>
      <c r="D12" s="34">
        <v>26000</v>
      </c>
      <c r="E12" s="29" t="s">
        <v>110</v>
      </c>
      <c r="F12" s="34">
        <v>65000</v>
      </c>
      <c r="G12" s="30">
        <v>5</v>
      </c>
      <c r="H12" s="35">
        <f t="shared" si="0"/>
        <v>39000</v>
      </c>
    </row>
    <row r="13" spans="1:11" x14ac:dyDescent="0.25">
      <c r="A13" s="29" t="s">
        <v>123</v>
      </c>
      <c r="B13" s="26">
        <v>798619</v>
      </c>
      <c r="C13" s="29" t="s">
        <v>109</v>
      </c>
      <c r="D13" s="34">
        <v>18000</v>
      </c>
      <c r="E13" s="37" t="s">
        <v>134</v>
      </c>
      <c r="F13" s="34">
        <v>45000</v>
      </c>
      <c r="G13" s="30">
        <v>2</v>
      </c>
      <c r="H13" s="35">
        <f t="shared" si="0"/>
        <v>27000</v>
      </c>
      <c r="K13" s="38"/>
    </row>
    <row r="14" spans="1:11" x14ac:dyDescent="0.25">
      <c r="A14" s="29" t="s">
        <v>124</v>
      </c>
      <c r="B14" s="26">
        <v>798620</v>
      </c>
      <c r="C14" s="29" t="s">
        <v>111</v>
      </c>
      <c r="D14" s="34">
        <v>15800</v>
      </c>
      <c r="E14" s="29" t="s">
        <v>113</v>
      </c>
      <c r="F14" s="34">
        <v>35000</v>
      </c>
      <c r="G14" s="30">
        <v>1</v>
      </c>
      <c r="H14" s="35">
        <f t="shared" si="0"/>
        <v>19200</v>
      </c>
    </row>
    <row r="15" spans="1:11" x14ac:dyDescent="0.25">
      <c r="A15" s="29" t="s">
        <v>125</v>
      </c>
      <c r="B15" s="26">
        <v>798621</v>
      </c>
      <c r="C15" s="29" t="s">
        <v>112</v>
      </c>
      <c r="D15" s="34">
        <v>28200</v>
      </c>
      <c r="E15" s="29" t="s">
        <v>54</v>
      </c>
      <c r="F15" s="34">
        <v>65000</v>
      </c>
      <c r="G15" s="30">
        <v>7</v>
      </c>
      <c r="H15" s="35">
        <f t="shared" si="0"/>
        <v>36800</v>
      </c>
    </row>
    <row r="16" spans="1:11" x14ac:dyDescent="0.25">
      <c r="A16" s="29" t="s">
        <v>130</v>
      </c>
      <c r="B16" s="26">
        <v>798622</v>
      </c>
      <c r="C16" s="36" t="s">
        <v>126</v>
      </c>
      <c r="D16" s="34">
        <v>24000</v>
      </c>
      <c r="E16" s="36" t="s">
        <v>128</v>
      </c>
      <c r="F16" s="34">
        <v>45000</v>
      </c>
      <c r="G16" s="30">
        <v>12</v>
      </c>
      <c r="H16" s="35">
        <f t="shared" si="0"/>
        <v>21000</v>
      </c>
    </row>
    <row r="17" spans="1:11" x14ac:dyDescent="0.25">
      <c r="A17" s="29" t="s">
        <v>131</v>
      </c>
      <c r="B17" s="26">
        <v>798623</v>
      </c>
      <c r="C17" s="36" t="s">
        <v>127</v>
      </c>
      <c r="D17" s="34">
        <v>35000</v>
      </c>
      <c r="E17" s="36" t="s">
        <v>129</v>
      </c>
      <c r="F17" s="34">
        <v>55000</v>
      </c>
      <c r="G17" s="30">
        <v>12</v>
      </c>
      <c r="H17" s="35">
        <f t="shared" si="0"/>
        <v>20000</v>
      </c>
    </row>
    <row r="18" spans="1:11" x14ac:dyDescent="0.25">
      <c r="A18" s="29" t="s">
        <v>135</v>
      </c>
      <c r="B18" s="26">
        <v>798624</v>
      </c>
      <c r="C18" s="37" t="s">
        <v>132</v>
      </c>
      <c r="D18" s="34">
        <v>11000</v>
      </c>
      <c r="E18" s="37" t="s">
        <v>133</v>
      </c>
      <c r="F18" s="34">
        <v>35000</v>
      </c>
      <c r="G18" s="30">
        <v>12</v>
      </c>
      <c r="H18" s="35">
        <f t="shared" si="0"/>
        <v>24000</v>
      </c>
      <c r="K18" s="38"/>
    </row>
    <row r="19" spans="1:11" x14ac:dyDescent="0.25">
      <c r="A19" s="29" t="s">
        <v>138</v>
      </c>
      <c r="B19" s="26">
        <v>798625</v>
      </c>
      <c r="C19" s="43" t="s">
        <v>136</v>
      </c>
      <c r="D19" s="44">
        <v>25700</v>
      </c>
      <c r="E19" s="43" t="s">
        <v>137</v>
      </c>
      <c r="F19" s="44">
        <v>50000</v>
      </c>
      <c r="G19" s="45">
        <v>30</v>
      </c>
      <c r="H19" s="35">
        <f t="shared" si="0"/>
        <v>24300</v>
      </c>
    </row>
    <row r="20" spans="1:11" x14ac:dyDescent="0.25">
      <c r="A20" s="29" t="s">
        <v>147</v>
      </c>
      <c r="B20" s="26">
        <v>798626</v>
      </c>
      <c r="C20" s="47" t="s">
        <v>145</v>
      </c>
      <c r="D20" s="44">
        <v>87000</v>
      </c>
      <c r="E20" s="47" t="s">
        <v>146</v>
      </c>
      <c r="F20" s="44">
        <v>200000</v>
      </c>
      <c r="G20" s="45">
        <v>6</v>
      </c>
      <c r="H20" s="35">
        <f t="shared" si="0"/>
        <v>113000</v>
      </c>
    </row>
    <row r="21" spans="1:11" x14ac:dyDescent="0.25">
      <c r="A21" s="26"/>
      <c r="B21" s="26"/>
      <c r="C21" s="26"/>
      <c r="D21" s="34"/>
      <c r="E21" s="26"/>
      <c r="F21" s="34"/>
      <c r="G21" s="30"/>
    </row>
    <row r="22" spans="1:11" x14ac:dyDescent="0.25">
      <c r="A22" s="26"/>
      <c r="B22" s="26"/>
      <c r="C22" s="26"/>
      <c r="D22" s="34"/>
      <c r="E22" s="26"/>
      <c r="F22" s="34"/>
      <c r="G22" s="30"/>
    </row>
    <row r="23" spans="1:11" x14ac:dyDescent="0.25">
      <c r="A23" s="26"/>
      <c r="B23" s="26"/>
      <c r="C23" s="26"/>
      <c r="D23" s="34"/>
      <c r="E23" s="26"/>
      <c r="F23" s="34"/>
      <c r="G23" s="30"/>
    </row>
    <row r="24" spans="1:11" x14ac:dyDescent="0.25">
      <c r="A24" s="26"/>
      <c r="B24" s="26"/>
      <c r="C24" s="26"/>
      <c r="D24" s="34"/>
      <c r="E24" s="26"/>
      <c r="F24" s="34"/>
      <c r="G24" s="30"/>
    </row>
    <row r="25" spans="1:11" x14ac:dyDescent="0.25">
      <c r="A25" s="26"/>
      <c r="B25" s="26"/>
      <c r="C25" s="26"/>
      <c r="D25" s="34"/>
      <c r="E25" s="26"/>
      <c r="F25" s="34"/>
      <c r="G25" s="30"/>
    </row>
    <row r="26" spans="1:11" x14ac:dyDescent="0.25">
      <c r="A26" s="26"/>
      <c r="B26" s="26"/>
      <c r="C26" s="26"/>
      <c r="D26" s="34"/>
      <c r="E26" s="26"/>
      <c r="F26" s="34"/>
      <c r="G26" s="30"/>
    </row>
    <row r="27" spans="1:11" x14ac:dyDescent="0.25">
      <c r="A27" s="26"/>
      <c r="B27" s="26"/>
      <c r="C27" s="26"/>
      <c r="D27" s="34"/>
      <c r="E27" s="26"/>
      <c r="F27" s="34"/>
      <c r="G27" s="30"/>
    </row>
  </sheetData>
  <phoneticPr fontId="18" type="noConversion"/>
  <conditionalFormatting sqref="A3">
    <cfRule type="duplicateValues" dxfId="16" priority="4"/>
    <cfRule type="duplicateValues" dxfId="15" priority="7"/>
  </conditionalFormatting>
  <conditionalFormatting sqref="A1:B3">
    <cfRule type="duplicateValues" dxfId="14" priority="2"/>
  </conditionalFormatting>
  <conditionalFormatting sqref="A1:B1048576">
    <cfRule type="duplicateValues" dxfId="13" priority="1"/>
  </conditionalFormatting>
  <conditionalFormatting sqref="B2:B3">
    <cfRule type="duplicateValues" dxfId="12" priority="3"/>
  </conditionalFormatting>
  <conditionalFormatting sqref="B3">
    <cfRule type="duplicateValues" dxfId="11" priority="5"/>
    <cfRule type="duplicateValues" dxfId="10" priority="6"/>
  </conditionalFormatting>
  <conditionalFormatting sqref="B4:B25">
    <cfRule type="duplicateValues" dxfId="9" priority="1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1"/>
  <sheetViews>
    <sheetView workbookViewId="0">
      <pane ySplit="3" topLeftCell="A4" activePane="bottomLeft" state="frozen"/>
      <selection pane="bottomLeft" activeCell="M11" sqref="M11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1.85546875" customWidth="1"/>
    <col min="4" max="4" width="16.140625" customWidth="1"/>
    <col min="5" max="5" width="13.425781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8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H2">
        <v>39</v>
      </c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H3">
        <v>39</v>
      </c>
      <c r="J3" s="8"/>
    </row>
    <row r="4" spans="1:10" ht="14.25" customHeight="1" x14ac:dyDescent="0.25">
      <c r="A4" s="11" t="s">
        <v>57</v>
      </c>
      <c r="B4" s="9">
        <v>2142134</v>
      </c>
      <c r="C4" s="9" t="s">
        <v>9</v>
      </c>
      <c r="D4" s="10">
        <v>7000</v>
      </c>
      <c r="E4" s="12" t="s">
        <v>33</v>
      </c>
      <c r="F4" s="10">
        <v>15000</v>
      </c>
      <c r="G4" s="9">
        <v>18</v>
      </c>
      <c r="H4" s="15">
        <f>SUM(H2:H3)</f>
        <v>78</v>
      </c>
    </row>
    <row r="5" spans="1:10" ht="14.25" customHeight="1" x14ac:dyDescent="0.25">
      <c r="A5" s="11" t="s">
        <v>58</v>
      </c>
      <c r="B5" s="9">
        <v>2142135</v>
      </c>
      <c r="C5" s="9" t="s">
        <v>10</v>
      </c>
      <c r="D5" s="10">
        <v>8700</v>
      </c>
      <c r="E5" s="12" t="s">
        <v>34</v>
      </c>
      <c r="F5" s="10">
        <v>17000</v>
      </c>
      <c r="G5" s="9">
        <v>19</v>
      </c>
    </row>
    <row r="6" spans="1:10" ht="14.25" customHeight="1" x14ac:dyDescent="0.25">
      <c r="A6" s="11" t="s">
        <v>59</v>
      </c>
      <c r="B6" s="9">
        <v>2142136</v>
      </c>
      <c r="C6" s="9" t="s">
        <v>11</v>
      </c>
      <c r="D6" s="10">
        <v>5000</v>
      </c>
      <c r="E6" s="12" t="s">
        <v>35</v>
      </c>
      <c r="F6" s="10">
        <v>15000</v>
      </c>
      <c r="G6" s="9">
        <v>20</v>
      </c>
    </row>
    <row r="7" spans="1:10" ht="14.25" customHeight="1" x14ac:dyDescent="0.25">
      <c r="A7" s="11" t="s">
        <v>60</v>
      </c>
      <c r="B7" s="9">
        <v>2142137</v>
      </c>
      <c r="C7" s="9" t="s">
        <v>12</v>
      </c>
      <c r="D7" s="10">
        <v>10000</v>
      </c>
      <c r="E7" s="12" t="s">
        <v>36</v>
      </c>
      <c r="F7" s="10">
        <v>25000</v>
      </c>
      <c r="G7" s="9">
        <v>9</v>
      </c>
    </row>
    <row r="8" spans="1:10" ht="14.25" customHeight="1" x14ac:dyDescent="0.25">
      <c r="A8" s="11" t="s">
        <v>61</v>
      </c>
      <c r="B8" s="9">
        <v>2142138</v>
      </c>
      <c r="C8" s="9" t="s">
        <v>13</v>
      </c>
      <c r="D8" s="10">
        <v>12500</v>
      </c>
      <c r="E8" s="12" t="s">
        <v>37</v>
      </c>
      <c r="F8" s="10">
        <v>20000</v>
      </c>
      <c r="G8" s="9">
        <v>43</v>
      </c>
    </row>
    <row r="9" spans="1:10" ht="14.25" customHeight="1" x14ac:dyDescent="0.25">
      <c r="A9" s="11" t="s">
        <v>62</v>
      </c>
      <c r="B9" s="9">
        <v>2142139</v>
      </c>
      <c r="C9" s="11" t="s">
        <v>39</v>
      </c>
      <c r="D9" s="10">
        <v>10000</v>
      </c>
      <c r="E9" s="12" t="s">
        <v>36</v>
      </c>
      <c r="F9" s="10">
        <v>25000</v>
      </c>
      <c r="G9" s="16"/>
    </row>
    <row r="10" spans="1:10" ht="14.25" customHeight="1" x14ac:dyDescent="0.25">
      <c r="A10" s="11" t="s">
        <v>63</v>
      </c>
      <c r="B10" s="9">
        <v>2142140</v>
      </c>
      <c r="C10" s="9" t="s">
        <v>14</v>
      </c>
      <c r="D10" s="10">
        <v>10600</v>
      </c>
      <c r="E10" s="12" t="s">
        <v>38</v>
      </c>
      <c r="F10" s="10">
        <v>38000</v>
      </c>
      <c r="G10" s="9">
        <v>58</v>
      </c>
    </row>
    <row r="11" spans="1:10" ht="14.25" customHeight="1" x14ac:dyDescent="0.25">
      <c r="A11" s="11" t="s">
        <v>64</v>
      </c>
      <c r="B11" s="9">
        <v>2142141</v>
      </c>
      <c r="C11" s="9" t="s">
        <v>15</v>
      </c>
      <c r="D11" s="10"/>
      <c r="E11" s="13"/>
      <c r="F11" s="14"/>
      <c r="G11" s="9"/>
    </row>
    <row r="12" spans="1:10" ht="14.25" customHeight="1" x14ac:dyDescent="0.25">
      <c r="A12" s="11" t="s">
        <v>65</v>
      </c>
      <c r="B12" s="9">
        <v>2142142</v>
      </c>
      <c r="C12" s="9" t="s">
        <v>16</v>
      </c>
      <c r="D12" s="10">
        <v>22000</v>
      </c>
      <c r="E12" s="12" t="s">
        <v>40</v>
      </c>
      <c r="F12" s="10">
        <v>55000</v>
      </c>
      <c r="G12" s="9">
        <v>18</v>
      </c>
    </row>
    <row r="13" spans="1:10" ht="14.25" customHeight="1" x14ac:dyDescent="0.25">
      <c r="A13" s="11" t="s">
        <v>66</v>
      </c>
      <c r="B13" s="9">
        <v>2142143</v>
      </c>
      <c r="C13" s="9" t="s">
        <v>17</v>
      </c>
      <c r="D13" s="10">
        <v>5000</v>
      </c>
      <c r="E13" s="12" t="s">
        <v>35</v>
      </c>
      <c r="F13" s="10">
        <v>10000</v>
      </c>
      <c r="G13" s="16"/>
    </row>
    <row r="14" spans="1:10" ht="14.25" customHeight="1" x14ac:dyDescent="0.25">
      <c r="A14" s="11" t="s">
        <v>67</v>
      </c>
      <c r="B14" s="9">
        <v>2142144</v>
      </c>
      <c r="C14" s="9" t="s">
        <v>18</v>
      </c>
      <c r="D14" s="10">
        <v>6500</v>
      </c>
      <c r="E14" s="12" t="s">
        <v>41</v>
      </c>
      <c r="F14" s="10">
        <v>12000</v>
      </c>
      <c r="G14" s="16"/>
    </row>
    <row r="15" spans="1:10" ht="14.25" customHeight="1" x14ac:dyDescent="0.25">
      <c r="A15" s="11" t="s">
        <v>68</v>
      </c>
      <c r="B15" s="9">
        <v>2142145</v>
      </c>
      <c r="C15" s="9" t="s">
        <v>19</v>
      </c>
      <c r="D15" s="10">
        <v>8000</v>
      </c>
      <c r="E15" s="12" t="s">
        <v>42</v>
      </c>
      <c r="F15" s="10">
        <v>17000</v>
      </c>
      <c r="G15" s="16"/>
    </row>
    <row r="16" spans="1:10" ht="14.25" customHeight="1" x14ac:dyDescent="0.25">
      <c r="A16" s="11" t="s">
        <v>69</v>
      </c>
      <c r="B16" s="9">
        <v>2142146</v>
      </c>
      <c r="C16" s="9" t="s">
        <v>20</v>
      </c>
      <c r="D16" s="10">
        <v>16500</v>
      </c>
      <c r="E16" s="12" t="s">
        <v>43</v>
      </c>
      <c r="F16" s="10">
        <v>38000</v>
      </c>
      <c r="G16" s="9">
        <v>15</v>
      </c>
    </row>
    <row r="17" spans="1:7" ht="14.25" customHeight="1" x14ac:dyDescent="0.25">
      <c r="A17" s="11" t="s">
        <v>70</v>
      </c>
      <c r="B17" s="9">
        <v>2142147</v>
      </c>
      <c r="C17" s="9" t="s">
        <v>21</v>
      </c>
      <c r="D17" s="10">
        <v>11000</v>
      </c>
      <c r="E17" s="12" t="s">
        <v>44</v>
      </c>
      <c r="F17" s="10">
        <v>38000</v>
      </c>
      <c r="G17" s="9">
        <v>4</v>
      </c>
    </row>
    <row r="18" spans="1:7" ht="14.25" customHeight="1" x14ac:dyDescent="0.25">
      <c r="A18" s="11" t="s">
        <v>71</v>
      </c>
      <c r="B18" s="9">
        <v>2142148</v>
      </c>
      <c r="C18" s="9" t="s">
        <v>22</v>
      </c>
      <c r="D18" s="10">
        <v>16500</v>
      </c>
      <c r="E18" s="12" t="s">
        <v>45</v>
      </c>
      <c r="F18" s="10">
        <v>38000</v>
      </c>
      <c r="G18" s="9">
        <v>5</v>
      </c>
    </row>
    <row r="19" spans="1:7" ht="14.25" customHeight="1" x14ac:dyDescent="0.25">
      <c r="A19" s="11" t="s">
        <v>72</v>
      </c>
      <c r="B19" s="9">
        <v>2142149</v>
      </c>
      <c r="C19" s="9" t="s">
        <v>23</v>
      </c>
      <c r="D19" s="10">
        <v>21600</v>
      </c>
      <c r="E19" s="12" t="s">
        <v>46</v>
      </c>
      <c r="F19" s="10">
        <v>45000</v>
      </c>
      <c r="G19" s="9">
        <v>16</v>
      </c>
    </row>
    <row r="20" spans="1:7" ht="14.25" customHeight="1" x14ac:dyDescent="0.25">
      <c r="A20" s="11" t="s">
        <v>73</v>
      </c>
      <c r="B20" s="9">
        <v>2142150</v>
      </c>
      <c r="C20" s="11" t="s">
        <v>24</v>
      </c>
      <c r="D20" s="10">
        <v>32500</v>
      </c>
      <c r="E20" s="12" t="s">
        <v>47</v>
      </c>
      <c r="F20" s="10">
        <v>75000</v>
      </c>
      <c r="G20" s="9">
        <v>5</v>
      </c>
    </row>
    <row r="21" spans="1:7" ht="14.25" customHeight="1" x14ac:dyDescent="0.25">
      <c r="A21" s="11" t="s">
        <v>56</v>
      </c>
      <c r="B21" s="9">
        <v>2142151</v>
      </c>
      <c r="C21" s="11" t="s">
        <v>25</v>
      </c>
      <c r="D21" s="10">
        <v>34500</v>
      </c>
      <c r="E21" s="12" t="s">
        <v>48</v>
      </c>
      <c r="F21" s="10">
        <v>65000</v>
      </c>
      <c r="G21" s="9">
        <v>5</v>
      </c>
    </row>
    <row r="22" spans="1:7" ht="14.25" customHeight="1" x14ac:dyDescent="0.25">
      <c r="A22" s="11" t="s">
        <v>74</v>
      </c>
      <c r="B22" s="9">
        <v>2142152</v>
      </c>
      <c r="C22" s="11" t="s">
        <v>26</v>
      </c>
      <c r="D22" s="10">
        <v>7300</v>
      </c>
      <c r="E22" s="12" t="s">
        <v>49</v>
      </c>
      <c r="F22" s="10">
        <v>15000</v>
      </c>
      <c r="G22" s="16"/>
    </row>
    <row r="23" spans="1:7" ht="14.25" customHeight="1" x14ac:dyDescent="0.25">
      <c r="A23" s="11" t="s">
        <v>75</v>
      </c>
      <c r="B23" s="9">
        <v>2142153</v>
      </c>
      <c r="C23" s="11" t="s">
        <v>27</v>
      </c>
      <c r="D23" s="10">
        <v>10500</v>
      </c>
      <c r="E23" s="12" t="s">
        <v>50</v>
      </c>
      <c r="F23" s="10">
        <v>27000</v>
      </c>
      <c r="G23" s="16"/>
    </row>
    <row r="24" spans="1:7" ht="14.25" customHeight="1" x14ac:dyDescent="0.25">
      <c r="A24" s="11" t="s">
        <v>76</v>
      </c>
      <c r="B24" s="9">
        <v>2142154</v>
      </c>
      <c r="C24" s="11" t="s">
        <v>28</v>
      </c>
      <c r="D24" s="10">
        <v>5500</v>
      </c>
      <c r="E24" s="12" t="s">
        <v>51</v>
      </c>
      <c r="F24" s="10">
        <v>10000</v>
      </c>
      <c r="G24" s="16"/>
    </row>
    <row r="25" spans="1:7" ht="14.25" customHeight="1" x14ac:dyDescent="0.25">
      <c r="A25" s="11" t="s">
        <v>77</v>
      </c>
      <c r="B25" s="9">
        <v>2142155</v>
      </c>
      <c r="C25" s="11" t="s">
        <v>29</v>
      </c>
      <c r="D25" s="10">
        <v>23600</v>
      </c>
      <c r="E25" s="12" t="s">
        <v>52</v>
      </c>
      <c r="F25" s="10">
        <v>55000</v>
      </c>
      <c r="G25" s="9">
        <v>78</v>
      </c>
    </row>
    <row r="26" spans="1:7" ht="14.25" customHeight="1" x14ac:dyDescent="0.25">
      <c r="A26" s="11" t="s">
        <v>78</v>
      </c>
      <c r="B26" s="9">
        <v>2142156</v>
      </c>
      <c r="C26" s="11" t="s">
        <v>30</v>
      </c>
      <c r="D26" s="10">
        <v>18500</v>
      </c>
      <c r="E26" s="12" t="s">
        <v>53</v>
      </c>
      <c r="F26" s="10">
        <v>38000</v>
      </c>
      <c r="G26" s="9">
        <v>24</v>
      </c>
    </row>
    <row r="27" spans="1:7" ht="14.25" customHeight="1" x14ac:dyDescent="0.25">
      <c r="A27" s="11" t="s">
        <v>79</v>
      </c>
      <c r="B27" s="9">
        <v>2142157</v>
      </c>
      <c r="C27" s="11" t="s">
        <v>31</v>
      </c>
      <c r="D27" s="10">
        <v>28200</v>
      </c>
      <c r="E27" s="12" t="s">
        <v>54</v>
      </c>
      <c r="F27" s="10">
        <v>65000</v>
      </c>
      <c r="G27" s="9">
        <v>7</v>
      </c>
    </row>
    <row r="28" spans="1:7" ht="14.25" customHeight="1" x14ac:dyDescent="0.25">
      <c r="A28" s="11" t="s">
        <v>80</v>
      </c>
      <c r="B28" s="9">
        <v>2142158</v>
      </c>
      <c r="C28" s="11" t="s">
        <v>32</v>
      </c>
      <c r="D28" s="10">
        <v>52000</v>
      </c>
      <c r="E28" s="12" t="s">
        <v>55</v>
      </c>
      <c r="F28" s="10">
        <v>85000</v>
      </c>
      <c r="G28" s="9">
        <v>4</v>
      </c>
    </row>
    <row r="29" spans="1:7" ht="14.25" customHeight="1" x14ac:dyDescent="0.25">
      <c r="A29" s="9"/>
      <c r="B29" s="9"/>
      <c r="C29" s="9"/>
      <c r="D29" s="10"/>
      <c r="E29" s="10"/>
      <c r="F29" s="10"/>
      <c r="G29" s="9"/>
    </row>
    <row r="30" spans="1:7" ht="14.25" customHeight="1" x14ac:dyDescent="0.25">
      <c r="A30" s="9"/>
      <c r="B30" s="9"/>
      <c r="C30" s="9"/>
      <c r="D30" s="10"/>
      <c r="E30" s="10"/>
      <c r="F30" s="10"/>
      <c r="G30" s="9"/>
    </row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</sheetData>
  <phoneticPr fontId="14" type="noConversion"/>
  <conditionalFormatting sqref="B1:B1048576">
    <cfRule type="duplicateValues" dxfId="8" priority="1"/>
  </conditionalFormatting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0563-BF08-4E75-9AB6-123F296C2451}">
  <dimension ref="A1:J10"/>
  <sheetViews>
    <sheetView workbookViewId="0">
      <selection activeCell="C22" sqref="C22"/>
    </sheetView>
  </sheetViews>
  <sheetFormatPr defaultRowHeight="15" x14ac:dyDescent="0.25"/>
  <cols>
    <col min="1" max="1" width="9.140625" style="17"/>
    <col min="2" max="2" width="16.140625" style="17" customWidth="1"/>
    <col min="3" max="3" width="31.7109375" style="17" customWidth="1"/>
    <col min="4" max="4" width="13.85546875" style="28" customWidth="1"/>
    <col min="5" max="5" width="13.140625" style="17" customWidth="1"/>
    <col min="6" max="6" width="13.28515625" style="28" customWidth="1"/>
    <col min="7" max="7" width="9.140625" style="17" bestFit="1" customWidth="1"/>
    <col min="8" max="16384" width="9.140625" style="17"/>
  </cols>
  <sheetData>
    <row r="1" spans="1:10" x14ac:dyDescent="0.25">
      <c r="B1" s="18"/>
      <c r="C1" s="19" t="s">
        <v>81</v>
      </c>
      <c r="D1" s="20"/>
      <c r="E1" s="20"/>
      <c r="F1" s="20"/>
    </row>
    <row r="2" spans="1:10" x14ac:dyDescent="0.25">
      <c r="B2" s="18"/>
      <c r="D2" s="20"/>
      <c r="E2" s="20"/>
      <c r="F2" s="20"/>
      <c r="J2" s="21" t="s">
        <v>0</v>
      </c>
    </row>
    <row r="3" spans="1:10" ht="20.100000000000001" customHeight="1" x14ac:dyDescent="0.25">
      <c r="A3" s="22" t="s">
        <v>1</v>
      </c>
      <c r="B3" s="23" t="s">
        <v>2</v>
      </c>
      <c r="C3" s="22" t="s">
        <v>3</v>
      </c>
      <c r="D3" s="24" t="s">
        <v>4</v>
      </c>
      <c r="E3" s="24" t="s">
        <v>5</v>
      </c>
      <c r="F3" s="24" t="s">
        <v>6</v>
      </c>
      <c r="G3" s="22" t="s">
        <v>7</v>
      </c>
      <c r="J3" s="25"/>
    </row>
    <row r="4" spans="1:10" x14ac:dyDescent="0.25">
      <c r="A4" s="26" t="s">
        <v>82</v>
      </c>
      <c r="B4" s="26">
        <v>64867320096</v>
      </c>
      <c r="C4" s="26" t="s">
        <v>83</v>
      </c>
      <c r="D4" s="27">
        <v>10000</v>
      </c>
      <c r="E4" s="26" t="s">
        <v>84</v>
      </c>
      <c r="F4" s="27">
        <v>30000</v>
      </c>
      <c r="G4" s="26">
        <v>2</v>
      </c>
    </row>
    <row r="5" spans="1:10" x14ac:dyDescent="0.25">
      <c r="A5" s="26" t="s">
        <v>85</v>
      </c>
      <c r="B5" s="26">
        <v>64867320097</v>
      </c>
      <c r="C5" s="26" t="s">
        <v>86</v>
      </c>
      <c r="D5" s="27">
        <v>8000</v>
      </c>
      <c r="E5" s="26" t="s">
        <v>87</v>
      </c>
      <c r="F5" s="27">
        <v>28000</v>
      </c>
      <c r="G5" s="26">
        <v>4</v>
      </c>
    </row>
    <row r="6" spans="1:10" x14ac:dyDescent="0.25">
      <c r="A6" s="26" t="s">
        <v>88</v>
      </c>
      <c r="B6" s="26">
        <v>64867320101</v>
      </c>
      <c r="C6" s="26" t="s">
        <v>89</v>
      </c>
      <c r="D6" s="27">
        <v>18000</v>
      </c>
      <c r="E6" s="26" t="s">
        <v>90</v>
      </c>
      <c r="F6" s="27">
        <v>45000</v>
      </c>
      <c r="G6" s="26">
        <v>2</v>
      </c>
    </row>
    <row r="7" spans="1:10" x14ac:dyDescent="0.25">
      <c r="A7" s="26" t="s">
        <v>91</v>
      </c>
      <c r="B7" s="26">
        <v>64867320102</v>
      </c>
      <c r="C7" s="26" t="s">
        <v>92</v>
      </c>
      <c r="D7" s="27">
        <v>10000</v>
      </c>
      <c r="E7" s="26" t="s">
        <v>93</v>
      </c>
      <c r="F7" s="27">
        <v>38000</v>
      </c>
      <c r="G7" s="26">
        <v>2</v>
      </c>
    </row>
    <row r="8" spans="1:10" x14ac:dyDescent="0.25">
      <c r="A8" s="26" t="s">
        <v>94</v>
      </c>
      <c r="B8" s="26">
        <v>64867320103</v>
      </c>
      <c r="C8" s="26" t="s">
        <v>95</v>
      </c>
      <c r="D8" s="27">
        <v>23000</v>
      </c>
      <c r="E8" s="26" t="s">
        <v>96</v>
      </c>
      <c r="F8" s="27">
        <v>58000</v>
      </c>
      <c r="G8" s="26">
        <v>2</v>
      </c>
    </row>
    <row r="9" spans="1:10" x14ac:dyDescent="0.25">
      <c r="A9" s="26"/>
      <c r="B9" s="26"/>
      <c r="C9" s="26"/>
      <c r="D9" s="27"/>
      <c r="E9" s="26"/>
      <c r="F9" s="27"/>
      <c r="G9" s="26"/>
    </row>
    <row r="10" spans="1:10" x14ac:dyDescent="0.25">
      <c r="A10" s="26"/>
      <c r="B10" s="26"/>
      <c r="C10" s="26"/>
      <c r="D10" s="27"/>
      <c r="E10" s="26"/>
      <c r="F10" s="27"/>
      <c r="G10" s="26"/>
    </row>
  </sheetData>
  <conditionalFormatting sqref="A3">
    <cfRule type="duplicateValues" dxfId="7" priority="4"/>
    <cfRule type="duplicateValues" dxfId="6" priority="7"/>
  </conditionalFormatting>
  <conditionalFormatting sqref="A1:B3">
    <cfRule type="duplicateValues" dxfId="5" priority="2"/>
  </conditionalFormatting>
  <conditionalFormatting sqref="A1:B1048576">
    <cfRule type="duplicateValues" dxfId="4" priority="1"/>
  </conditionalFormatting>
  <conditionalFormatting sqref="B2:B3">
    <cfRule type="duplicateValues" dxfId="3" priority="3"/>
  </conditionalFormatting>
  <conditionalFormatting sqref="B3">
    <cfRule type="duplicateValues" dxfId="2" priority="5"/>
    <cfRule type="duplicateValues" dxfId="1" priority="6"/>
  </conditionalFormatting>
  <conditionalFormatting sqref="B4:B8">
    <cfRule type="duplicateValues" dxfId="0" priority="8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stop</vt:lpstr>
      <vt:lpstr>New</vt:lpstr>
      <vt:lpstr>Sheet1</vt:lpstr>
      <vt:lpstr>Plastik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2026-04-29T01:01:09Z</dcterms:modified>
</cp:coreProperties>
</file>