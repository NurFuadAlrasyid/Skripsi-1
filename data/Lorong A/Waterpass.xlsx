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EDFCBFBC-E3B7-4559-8E57-CB46D4D459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23" i="3" l="1"/>
  <c r="H24" i="3"/>
  <c r="H25" i="3"/>
  <c r="H22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8949D318-A63A-4576-805C-93575C0D6A72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<sst xmlns="http://schemas.openxmlformats.org/spreadsheetml/2006/main" count="96" uniqueCount="96">
  <si>
    <t>Kode Item</t>
  </si>
  <si>
    <t>Barcode</t>
  </si>
  <si>
    <t>Nama Item</t>
  </si>
  <si>
    <t>Harga Pokok</t>
  </si>
  <si>
    <t>Harga Jual</t>
  </si>
  <si>
    <t>Stok Awal</t>
  </si>
  <si>
    <t>WATERPASS</t>
  </si>
  <si>
    <t>RU-SMK</t>
  </si>
  <si>
    <t>TZ</t>
  </si>
  <si>
    <t>TS-DL</t>
  </si>
  <si>
    <t>QU-SMK</t>
  </si>
  <si>
    <t>QW-KA</t>
  </si>
  <si>
    <t>UZ-DL</t>
  </si>
  <si>
    <t>WATERP1</t>
  </si>
  <si>
    <t>WATERP2</t>
  </si>
  <si>
    <t>WATERP3</t>
  </si>
  <si>
    <t>WATERP4</t>
  </si>
  <si>
    <t>WATERP5</t>
  </si>
  <si>
    <t>WATERP6</t>
  </si>
  <si>
    <t>Waterpass ATS 24"</t>
  </si>
  <si>
    <t xml:space="preserve">Waterpass Palazzo 18" </t>
  </si>
  <si>
    <t>SU</t>
  </si>
  <si>
    <t>Waterpass Ats 18"</t>
  </si>
  <si>
    <t>TT</t>
  </si>
  <si>
    <t>SZ</t>
  </si>
  <si>
    <t>Waterpass Haston Laser 24"</t>
  </si>
  <si>
    <t>XXU</t>
  </si>
  <si>
    <t>RY</t>
  </si>
  <si>
    <t>Waterpass Rush</t>
  </si>
  <si>
    <t>QSWU</t>
  </si>
  <si>
    <t>Waterpass DX-Plore 6"</t>
  </si>
  <si>
    <t>QX</t>
  </si>
  <si>
    <t>Waterpass Propan 6"</t>
  </si>
  <si>
    <t>YZ</t>
  </si>
  <si>
    <t>WATERP7</t>
  </si>
  <si>
    <t>WATERP8</t>
  </si>
  <si>
    <t>WATERP9</t>
  </si>
  <si>
    <t>WATERP10</t>
  </si>
  <si>
    <t>WATERP11</t>
  </si>
  <si>
    <t>WATERP12</t>
  </si>
  <si>
    <t>WATERP13</t>
  </si>
  <si>
    <t>WATERP14</t>
  </si>
  <si>
    <t>Waterpass Jingyi F 2005-B</t>
  </si>
  <si>
    <t>Waterpass Palazzo 24"</t>
  </si>
  <si>
    <t>Waterpass Onat 24"</t>
  </si>
  <si>
    <t>Waterpass HPP 24"</t>
  </si>
  <si>
    <t>Waterpass XP 24"</t>
  </si>
  <si>
    <t>Waterpass Erdos 24"</t>
  </si>
  <si>
    <t>Waterpass Onat 18"</t>
  </si>
  <si>
    <t>WATERP15</t>
  </si>
  <si>
    <t>Waterpass Onat 12"</t>
  </si>
  <si>
    <t>SW-DL</t>
  </si>
  <si>
    <t>Waterpass D-Xplore Magnet 18"</t>
  </si>
  <si>
    <t>XX-SBA</t>
  </si>
  <si>
    <t>Waterpass D-Xplore 18"</t>
  </si>
  <si>
    <t>URU-SBA</t>
  </si>
  <si>
    <t>Waterpass Toho 18"</t>
  </si>
  <si>
    <t>XY-BB</t>
  </si>
  <si>
    <t>WATERP16</t>
  </si>
  <si>
    <t>WATERP17</t>
  </si>
  <si>
    <t>WATERP18</t>
  </si>
  <si>
    <t>Kode Barang</t>
  </si>
  <si>
    <t>water19</t>
  </si>
  <si>
    <t>Waterpass Magnet Tjap Mata 40"</t>
  </si>
  <si>
    <t>RUR-JM</t>
  </si>
  <si>
    <t>Waterpass Aluminium EF Kuning 18</t>
  </si>
  <si>
    <t>Waterpass Magnet Stayvic 18</t>
  </si>
  <si>
    <t>Waterpass Mini Magnet Torpedo Gigan 9</t>
  </si>
  <si>
    <t>RV-JMM</t>
  </si>
  <si>
    <t>TQU-JMM</t>
  </si>
  <si>
    <t>QZ-JMM</t>
  </si>
  <si>
    <t>water20</t>
  </si>
  <si>
    <t>water21</t>
  </si>
  <si>
    <t>water22</t>
  </si>
  <si>
    <t>2565491</t>
  </si>
  <si>
    <t>2565492</t>
  </si>
  <si>
    <t>2565493</t>
  </si>
  <si>
    <t>2565494</t>
  </si>
  <si>
    <t>2565495</t>
  </si>
  <si>
    <t>2565496</t>
  </si>
  <si>
    <t>2565497</t>
  </si>
  <si>
    <t>2565498</t>
  </si>
  <si>
    <t>2565499</t>
  </si>
  <si>
    <t>2565500</t>
  </si>
  <si>
    <t>2565501</t>
  </si>
  <si>
    <t>2565502</t>
  </si>
  <si>
    <t>2565503</t>
  </si>
  <si>
    <t>2565504</t>
  </si>
  <si>
    <t>2565505</t>
  </si>
  <si>
    <t>2565506</t>
  </si>
  <si>
    <t>2565507</t>
  </si>
  <si>
    <t>2565508</t>
  </si>
  <si>
    <t>256550</t>
  </si>
  <si>
    <t>256551</t>
  </si>
  <si>
    <t>8990300180989</t>
  </si>
  <si>
    <t>256552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</si>
</sst>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80ED-5C3D-4067-9BCA-AAFB5C99084C}">
  <dimension ref="A1:J991"/>
  <sheetViews>
    <sheetView tabSelected="1" workbookViewId="0">
      <pane ySplit="3" topLeftCell="A7" activePane="bottomLeft" state="frozen"/>
      <selection pane="bottomLeft" activeCell="C28" sqref="C28"/>
    </sheetView>
  </sheetViews>
  <sheetFormatPr defaultColWidth="14.42578125" defaultRowHeight="15" customHeight="1" x14ac:dyDescent="0.25"/>
  <cols>
    <col min="1" max="1" width="12.28515625" customWidth="1"/>
    <col min="2" max="2" width="16.5703125" customWidth="1"/>
    <col min="3" max="3" width="37.42578125" bestFit="1" customWidth="1"/>
    <col min="4" max="4" width="17.140625" style="17" customWidth="1"/>
    <col min="5" max="5" width="17" customWidth="1"/>
    <col min="6" max="6" width="16.28515625" style="17" customWidth="1"/>
    <col min="7" max="7" width="11.42578125" style="13" customWidth="1"/>
    <col min="8" max="8" width="17" customWidth="1"/>
    <col min="9" max="26" width="8.7109375" customWidth="1"/>
  </cols>
  <sheetData>
    <row r="1" spans="1:10" ht="14.25" customHeight="1" x14ac:dyDescent="0.25">
      <c r="B1" s="1"/>
      <c r="C1" s="10" t="s">
        <v>6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18" t="s">
        <v>1</v>
      </c>
      <c r="C3" s="9" t="s">
        <v>2</v>
      </c>
      <c r="D3" s="15" t="s">
        <v>3</v>
      </c>
      <c r="E3" s="5" t="s">
        <v>61</v>
      </c>
      <c r="F3" s="15" t="s">
        <v>4</v>
      </c>
      <c r="G3" s="4" t="s">
        <v>5</v>
      </c>
      <c r="J3" s="6"/>
    </row>
    <row r="4" spans="1:10" ht="15" customHeight="1" x14ac:dyDescent="0.25">
      <c r="A4" s="8" t="s">
        <v>13</v>
      </c>
      <c r="B4" s="19" t="s">
        <v>74</v>
      </c>
      <c r="C4" s="8" t="s">
        <v>42</v>
      </c>
      <c r="D4" s="16">
        <v>25000</v>
      </c>
      <c r="E4" s="11" t="s">
        <v>7</v>
      </c>
      <c r="F4" s="16">
        <v>65000</v>
      </c>
      <c r="G4" s="12">
        <v>14</v>
      </c>
      <c r="H4" s="17">
        <f>F4-D4</f>
        <v>40000</v>
      </c>
    </row>
    <row r="5" spans="1:10" ht="15" customHeight="1" x14ac:dyDescent="0.25">
      <c r="A5" s="8" t="s">
        <v>14</v>
      </c>
      <c r="B5" s="19" t="s">
        <v>75</v>
      </c>
      <c r="C5" s="8" t="s">
        <v>43</v>
      </c>
      <c r="D5" s="16">
        <v>40000</v>
      </c>
      <c r="E5" s="11" t="s">
        <v>8</v>
      </c>
      <c r="F5" s="16">
        <v>85000</v>
      </c>
      <c r="G5" s="12">
        <v>5</v>
      </c>
      <c r="H5" s="17">
        <f t="shared" ref="H5:H25" si="0">F5-D5</f>
        <v>45000</v>
      </c>
    </row>
    <row r="6" spans="1:10" ht="15" customHeight="1" x14ac:dyDescent="0.25">
      <c r="A6" s="8" t="s">
        <v>15</v>
      </c>
      <c r="B6" s="19" t="s">
        <v>76</v>
      </c>
      <c r="C6" s="8" t="s">
        <v>44</v>
      </c>
      <c r="D6" s="16">
        <v>43000</v>
      </c>
      <c r="E6" s="11" t="s">
        <v>9</v>
      </c>
      <c r="F6" s="16">
        <v>75000</v>
      </c>
      <c r="G6" s="12">
        <v>1</v>
      </c>
      <c r="H6" s="17">
        <f t="shared" si="0"/>
        <v>32000</v>
      </c>
    </row>
    <row r="7" spans="1:10" ht="15" customHeight="1" x14ac:dyDescent="0.25">
      <c r="A7" s="8" t="s">
        <v>16</v>
      </c>
      <c r="B7" s="19" t="s">
        <v>77</v>
      </c>
      <c r="C7" s="8" t="s">
        <v>45</v>
      </c>
      <c r="D7" s="16">
        <v>15000</v>
      </c>
      <c r="E7" s="11" t="s">
        <v>10</v>
      </c>
      <c r="F7" s="16">
        <v>28000</v>
      </c>
      <c r="G7" s="12">
        <v>7</v>
      </c>
      <c r="H7" s="17">
        <f t="shared" si="0"/>
        <v>13000</v>
      </c>
    </row>
    <row r="8" spans="1:10" ht="15" customHeight="1" x14ac:dyDescent="0.25">
      <c r="A8" s="8" t="s">
        <v>17</v>
      </c>
      <c r="B8" s="19" t="s">
        <v>78</v>
      </c>
      <c r="C8" s="8" t="s">
        <v>46</v>
      </c>
      <c r="D8" s="16">
        <v>17000</v>
      </c>
      <c r="E8" s="11" t="s">
        <v>11</v>
      </c>
      <c r="F8" s="16">
        <v>35000</v>
      </c>
      <c r="G8" s="12">
        <v>2</v>
      </c>
      <c r="H8" s="17">
        <f t="shared" si="0"/>
        <v>18000</v>
      </c>
    </row>
    <row r="9" spans="1:10" ht="15" customHeight="1" x14ac:dyDescent="0.25">
      <c r="A9" s="8" t="s">
        <v>18</v>
      </c>
      <c r="B9" s="19" t="s">
        <v>79</v>
      </c>
      <c r="C9" s="8" t="s">
        <v>19</v>
      </c>
      <c r="D9" s="16">
        <v>50000</v>
      </c>
      <c r="E9" s="11" t="s">
        <v>12</v>
      </c>
      <c r="F9" s="16">
        <v>100000</v>
      </c>
      <c r="G9" s="12">
        <v>4</v>
      </c>
      <c r="H9" s="17">
        <f t="shared" si="0"/>
        <v>50000</v>
      </c>
    </row>
    <row r="10" spans="1:10" ht="15" customHeight="1" x14ac:dyDescent="0.25">
      <c r="A10" s="8" t="s">
        <v>34</v>
      </c>
      <c r="B10" s="19" t="s">
        <v>80</v>
      </c>
      <c r="C10" s="8" t="s">
        <v>20</v>
      </c>
      <c r="D10" s="16">
        <v>35000</v>
      </c>
      <c r="E10" s="11" t="s">
        <v>21</v>
      </c>
      <c r="F10" s="16">
        <v>75000</v>
      </c>
      <c r="G10" s="12">
        <v>8</v>
      </c>
      <c r="H10" s="17">
        <f t="shared" si="0"/>
        <v>40000</v>
      </c>
    </row>
    <row r="11" spans="1:10" ht="15" customHeight="1" x14ac:dyDescent="0.25">
      <c r="A11" s="8" t="s">
        <v>35</v>
      </c>
      <c r="B11" s="19" t="s">
        <v>81</v>
      </c>
      <c r="C11" s="8" t="s">
        <v>22</v>
      </c>
      <c r="D11" s="16">
        <v>44000</v>
      </c>
      <c r="E11" s="11" t="s">
        <v>23</v>
      </c>
      <c r="F11" s="16">
        <v>85000</v>
      </c>
      <c r="G11" s="12">
        <v>15</v>
      </c>
      <c r="H11" s="17">
        <f t="shared" si="0"/>
        <v>41000</v>
      </c>
    </row>
    <row r="12" spans="1:10" ht="15" customHeight="1" x14ac:dyDescent="0.25">
      <c r="A12" s="8" t="s">
        <v>36</v>
      </c>
      <c r="B12" s="19" t="s">
        <v>82</v>
      </c>
      <c r="C12" s="8" t="s">
        <v>47</v>
      </c>
      <c r="D12" s="16">
        <v>30000</v>
      </c>
      <c r="E12" s="11" t="s">
        <v>24</v>
      </c>
      <c r="F12" s="16">
        <v>95000</v>
      </c>
      <c r="G12" s="12">
        <v>8</v>
      </c>
      <c r="H12" s="17">
        <f t="shared" si="0"/>
        <v>65000</v>
      </c>
    </row>
    <row r="13" spans="1:10" ht="15" customHeight="1" x14ac:dyDescent="0.25">
      <c r="A13" s="8" t="s">
        <v>37</v>
      </c>
      <c r="B13" s="19" t="s">
        <v>83</v>
      </c>
      <c r="C13" s="8" t="s">
        <v>25</v>
      </c>
      <c r="D13" s="16">
        <v>88500</v>
      </c>
      <c r="E13" s="11" t="s">
        <v>26</v>
      </c>
      <c r="F13" s="16">
        <v>155000</v>
      </c>
      <c r="G13" s="12">
        <v>8</v>
      </c>
      <c r="H13" s="17">
        <f t="shared" si="0"/>
        <v>66500</v>
      </c>
    </row>
    <row r="14" spans="1:10" ht="15" customHeight="1" x14ac:dyDescent="0.25">
      <c r="A14" s="8" t="s">
        <v>38</v>
      </c>
      <c r="B14" s="19" t="s">
        <v>84</v>
      </c>
      <c r="C14" s="8" t="s">
        <v>50</v>
      </c>
      <c r="D14" s="16">
        <v>29000</v>
      </c>
      <c r="E14" s="11" t="s">
        <v>27</v>
      </c>
      <c r="F14" s="16">
        <v>55000</v>
      </c>
      <c r="G14" s="12">
        <v>3</v>
      </c>
      <c r="H14" s="17">
        <f t="shared" si="0"/>
        <v>26000</v>
      </c>
    </row>
    <row r="15" spans="1:10" ht="15" customHeight="1" x14ac:dyDescent="0.25">
      <c r="A15" s="8" t="s">
        <v>39</v>
      </c>
      <c r="B15" s="19" t="s">
        <v>85</v>
      </c>
      <c r="C15" s="8" t="s">
        <v>28</v>
      </c>
      <c r="D15" s="16">
        <v>13750</v>
      </c>
      <c r="E15" s="11" t="s">
        <v>29</v>
      </c>
      <c r="F15" s="16">
        <v>38000</v>
      </c>
      <c r="G15" s="12">
        <v>10</v>
      </c>
      <c r="H15" s="17">
        <f t="shared" si="0"/>
        <v>24250</v>
      </c>
    </row>
    <row r="16" spans="1:10" ht="15" customHeight="1" x14ac:dyDescent="0.25">
      <c r="A16" s="8" t="s">
        <v>40</v>
      </c>
      <c r="B16" s="19" t="s">
        <v>86</v>
      </c>
      <c r="C16" s="8" t="s">
        <v>30</v>
      </c>
      <c r="D16" s="16">
        <v>18000</v>
      </c>
      <c r="E16" s="11" t="s">
        <v>31</v>
      </c>
      <c r="F16" s="16">
        <v>45000</v>
      </c>
      <c r="G16" s="12">
        <v>5</v>
      </c>
      <c r="H16" s="17">
        <f t="shared" si="0"/>
        <v>27000</v>
      </c>
    </row>
    <row r="17" spans="1:8" ht="15" customHeight="1" x14ac:dyDescent="0.25">
      <c r="A17" s="8" t="s">
        <v>41</v>
      </c>
      <c r="B17" s="19" t="s">
        <v>87</v>
      </c>
      <c r="C17" s="8" t="s">
        <v>32</v>
      </c>
      <c r="D17" s="16">
        <v>9000</v>
      </c>
      <c r="E17" s="11" t="s">
        <v>33</v>
      </c>
      <c r="F17" s="16">
        <v>20000</v>
      </c>
      <c r="G17" s="12">
        <v>5</v>
      </c>
      <c r="H17" s="17">
        <f t="shared" si="0"/>
        <v>11000</v>
      </c>
    </row>
    <row r="18" spans="1:8" ht="15" customHeight="1" x14ac:dyDescent="0.25">
      <c r="A18" s="8" t="s">
        <v>49</v>
      </c>
      <c r="B18" s="19" t="s">
        <v>88</v>
      </c>
      <c r="C18" s="8" t="s">
        <v>48</v>
      </c>
      <c r="D18" s="16">
        <v>37000</v>
      </c>
      <c r="E18" s="11" t="s">
        <v>51</v>
      </c>
      <c r="F18" s="16">
        <v>65000</v>
      </c>
      <c r="G18" s="12">
        <v>2</v>
      </c>
      <c r="H18" s="17">
        <f t="shared" si="0"/>
        <v>28000</v>
      </c>
    </row>
    <row r="19" spans="1:8" ht="15" customHeight="1" x14ac:dyDescent="0.25">
      <c r="A19" s="8" t="s">
        <v>58</v>
      </c>
      <c r="B19" s="19" t="s">
        <v>89</v>
      </c>
      <c r="C19" s="8" t="s">
        <v>52</v>
      </c>
      <c r="D19" s="16">
        <v>88000</v>
      </c>
      <c r="E19" s="11" t="s">
        <v>53</v>
      </c>
      <c r="F19" s="16">
        <v>175000</v>
      </c>
      <c r="G19" s="12">
        <v>7</v>
      </c>
      <c r="H19" s="17">
        <f t="shared" si="0"/>
        <v>87000</v>
      </c>
    </row>
    <row r="20" spans="1:8" ht="15" customHeight="1" x14ac:dyDescent="0.25">
      <c r="A20" s="8" t="s">
        <v>59</v>
      </c>
      <c r="B20" s="19" t="s">
        <v>90</v>
      </c>
      <c r="C20" s="8" t="s">
        <v>54</v>
      </c>
      <c r="D20" s="16">
        <v>52500</v>
      </c>
      <c r="E20" s="11" t="s">
        <v>55</v>
      </c>
      <c r="F20" s="16">
        <v>100000</v>
      </c>
      <c r="G20" s="12">
        <v>6</v>
      </c>
      <c r="H20" s="17">
        <f t="shared" si="0"/>
        <v>47500</v>
      </c>
    </row>
    <row r="21" spans="1:8" ht="15" customHeight="1" x14ac:dyDescent="0.25">
      <c r="A21" s="8" t="s">
        <v>60</v>
      </c>
      <c r="B21" s="19" t="s">
        <v>91</v>
      </c>
      <c r="C21" s="8" t="s">
        <v>56</v>
      </c>
      <c r="D21" s="16">
        <v>89000</v>
      </c>
      <c r="E21" s="11" t="s">
        <v>57</v>
      </c>
      <c r="F21" s="16">
        <v>175000</v>
      </c>
      <c r="G21" s="12">
        <v>1</v>
      </c>
      <c r="H21" s="17">
        <f t="shared" si="0"/>
        <v>86000</v>
      </c>
    </row>
    <row r="22" spans="1:8" ht="15" customHeight="1" x14ac:dyDescent="0.25">
      <c r="A22" s="8" t="s">
        <v>62</v>
      </c>
      <c r="B22" s="19" t="s">
        <v>92</v>
      </c>
      <c r="C22" s="8" t="s">
        <v>63</v>
      </c>
      <c r="D22" s="16">
        <v>252000</v>
      </c>
      <c r="E22" s="11" t="s">
        <v>64</v>
      </c>
      <c r="F22" s="16">
        <v>325000</v>
      </c>
      <c r="G22" s="12">
        <v>3</v>
      </c>
      <c r="H22" s="17">
        <f t="shared" si="0"/>
        <v>73000</v>
      </c>
    </row>
    <row r="23" spans="1:8" ht="15" customHeight="1" x14ac:dyDescent="0.25">
      <c r="A23" s="8" t="s">
        <v>71</v>
      </c>
      <c r="B23" s="19" t="s">
        <v>93</v>
      </c>
      <c r="C23" s="8" t="s">
        <v>65</v>
      </c>
      <c r="D23" s="16">
        <v>26000</v>
      </c>
      <c r="E23" s="11" t="s">
        <v>68</v>
      </c>
      <c r="F23" s="16">
        <v>50000</v>
      </c>
      <c r="G23" s="12">
        <v>12</v>
      </c>
      <c r="H23" s="17">
        <f t="shared" si="0"/>
        <v>24000</v>
      </c>
    </row>
    <row r="24" spans="1:8" ht="15" customHeight="1" x14ac:dyDescent="0.25">
      <c r="A24" s="8" t="s">
        <v>72</v>
      </c>
      <c r="B24" s="19" t="s">
        <v>94</v>
      </c>
      <c r="C24" s="8" t="s">
        <v>66</v>
      </c>
      <c r="D24" s="16">
        <v>41500</v>
      </c>
      <c r="E24" s="11" t="s">
        <v>69</v>
      </c>
      <c r="F24" s="16">
        <v>75000</v>
      </c>
      <c r="G24" s="12">
        <v>12</v>
      </c>
      <c r="H24" s="17">
        <f t="shared" si="0"/>
        <v>33500</v>
      </c>
    </row>
    <row r="25" spans="1:8" ht="15" customHeight="1" x14ac:dyDescent="0.25">
      <c r="A25" s="8" t="s">
        <v>73</v>
      </c>
      <c r="B25" s="19" t="s">
        <v>95</v>
      </c>
      <c r="C25" s="8" t="s">
        <v>67</v>
      </c>
      <c r="D25" s="16">
        <v>10000</v>
      </c>
      <c r="E25" s="11" t="s">
        <v>70</v>
      </c>
      <c r="F25" s="16">
        <v>28000</v>
      </c>
      <c r="G25" s="12">
        <v>12</v>
      </c>
      <c r="H25" s="17">
        <f t="shared" si="0"/>
        <v>18000</v>
      </c>
    </row>
    <row r="26" spans="1:8" ht="15" customHeight="1" x14ac:dyDescent="0.25">
      <c r="A26" s="8"/>
      <c r="B26" s="7"/>
      <c r="C26" s="8"/>
      <c r="D26" s="16"/>
      <c r="E26" s="11"/>
      <c r="F26" s="16"/>
      <c r="G26" s="12"/>
      <c r="H26" s="17"/>
    </row>
    <row r="27" spans="1:8" ht="15" customHeight="1" x14ac:dyDescent="0.25">
      <c r="A27" s="8"/>
      <c r="B27" s="7"/>
      <c r="C27" s="8"/>
      <c r="D27" s="16"/>
      <c r="E27" s="11"/>
      <c r="F27" s="16"/>
      <c r="G27" s="12"/>
    </row>
    <row r="28" spans="1:8" ht="15" customHeight="1" x14ac:dyDescent="0.25">
      <c r="A28" s="8"/>
      <c r="B28" s="7"/>
      <c r="C28" s="8"/>
      <c r="D28" s="16"/>
      <c r="E28" s="11"/>
      <c r="F28" s="16"/>
      <c r="G28" s="12"/>
    </row>
    <row r="29" spans="1:8" ht="15" customHeight="1" x14ac:dyDescent="0.25">
      <c r="A29" s="8"/>
      <c r="B29" s="7"/>
      <c r="C29" s="8"/>
      <c r="D29" s="16"/>
      <c r="E29" s="11"/>
      <c r="F29" s="16"/>
      <c r="G29" s="12"/>
    </row>
    <row r="30" spans="1:8" ht="15" customHeight="1" x14ac:dyDescent="0.25">
      <c r="A30" s="8"/>
      <c r="B30" s="7"/>
      <c r="C30" s="8"/>
      <c r="D30" s="16"/>
      <c r="E30" s="11"/>
      <c r="F30" s="16"/>
      <c r="G30" s="12"/>
    </row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2025-12-13T12:04:37Z</cp:lastPrinted>
  <dcterms:created xsi:type="dcterms:W3CDTF">2025-09-12T06:09:43Z</dcterms:created>
  <dcterms:modified xsi:type="dcterms:W3CDTF">2026-04-24T06:42:09Z</dcterms:modified>
</cp:coreProperties>
</file>