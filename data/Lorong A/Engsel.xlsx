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C1AAF551-7772-4B88-90C5-292FB16B9B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g" sheetId="4" r:id="rId1"/>
    <sheet name="Bar." sheetId="1" r:id="rId2"/>
    <sheet name="Engs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55" i="4" l="1"/>
  <c r="H54" i="4"/>
  <c r="H58" i="4"/>
  <c r="H25" i="4"/>
  <c r="H26" i="4"/>
  <c r="H29" i="4"/>
  <c r="H30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60" i="4"/>
  <c r="H61" i="4"/>
  <c r="H62" i="4"/>
  <c r="H63" i="4"/>
  <c r="H8" i="4"/>
  <c r="H9" i="4"/>
  <c r="H10" i="4"/>
  <c r="H14" i="4"/>
  <c r="H15" i="4"/>
  <c r="H16" i="4"/>
  <c r="H18" i="4"/>
  <c r="H19" i="4"/>
  <c r="H20" i="4"/>
  <c r="H21" i="4"/>
  <c r="H22" i="4"/>
  <c r="H23" i="4"/>
  <c r="H24" i="4"/>
  <c r="H5" i="4"/>
  <c r="H4" i="4"/>
  <c r="H5" i="1"/>
  <c r="H6" i="1"/>
  <c r="H4" i="1"/>
  <c r="H29" i="3"/>
  <c r="H28" i="3"/>
  <c r="H24" i="3"/>
  <c r="H25" i="3"/>
  <c r="H26" i="3"/>
  <c r="H27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A8D2F2A7-79B0-478A-999B-3E2EC440860E}">
      <text>
        <r>
          <rPr>
            <sz val="11"/>
            <color theme="1"/>
            <rFont val="Calibri"/>
            <family val="2"/>
            <scheme val="minor"/>
          </rPr>
          <t>======
ID#AAABrG7QCWs
RUSLI    (2025-09-14 01:43:10)
="*"&amp;Cell&amp;"*"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8949D318-A63A-4576-805C-93575C0D6A72}">
      <text>
        <r>
          <rPr>
            <sz val="11"/>
            <color theme="1"/>
            <rFont val="Calibri"/>
            <family val="2"/>
            <scheme val="minor"/>
          </rPr>
          <t>======
ID#AAABrG7QCWs
RUSLI    (2025-09-14 01:43:10)
="*"&amp;Cell&amp;"*"</t>
        </r>
      </text>
    </comment>
  </commentList>
</comments>
</file>

<file path=xl/sharedStrings.xml><?xml version="1.0" encoding="utf-8"?>
<sst xmlns="http://schemas.openxmlformats.org/spreadsheetml/2006/main" count="257" uniqueCount="219">
  <si>
    <t>Kode Item</t>
  </si>
  <si>
    <t>Barcode</t>
  </si>
  <si>
    <t>Nama Item</t>
  </si>
  <si>
    <t>Harga Pokok</t>
  </si>
  <si>
    <t>Kode Harga</t>
  </si>
  <si>
    <t>Harga Jual</t>
  </si>
  <si>
    <t>Stok Awal</t>
  </si>
  <si>
    <t>ENGSEL</t>
  </si>
  <si>
    <t>VU-JM</t>
  </si>
  <si>
    <t>VV-JT</t>
  </si>
  <si>
    <t>WZ-TW</t>
  </si>
  <si>
    <t>XU-PJ/LT</t>
  </si>
  <si>
    <t>YZ-TW</t>
  </si>
  <si>
    <t>YR-NPH</t>
  </si>
  <si>
    <t>YWU-UT</t>
  </si>
  <si>
    <t>QSQ-CT/SW</t>
  </si>
  <si>
    <t>QT-JLT</t>
  </si>
  <si>
    <t>VU-MJA</t>
  </si>
  <si>
    <t>Engsel Belucci Hitam 3"</t>
  </si>
  <si>
    <t>Engsel Belucci Putih 3"</t>
  </si>
  <si>
    <t>SU-MJB</t>
  </si>
  <si>
    <t>Engsel Belucci Hitam 4"</t>
  </si>
  <si>
    <t>Engsel Belucci Putih 4"</t>
  </si>
  <si>
    <t>TU-MJB</t>
  </si>
  <si>
    <t>TV-MJB</t>
  </si>
  <si>
    <t>Engsel Belucci Putih 5"</t>
  </si>
  <si>
    <t>UR-MJB</t>
  </si>
  <si>
    <t>ENGS20</t>
  </si>
  <si>
    <t>ENGS21</t>
  </si>
  <si>
    <t>ENGS22</t>
  </si>
  <si>
    <t>ENGS23</t>
  </si>
  <si>
    <t>ENGS24</t>
  </si>
  <si>
    <t>ENGS25</t>
  </si>
  <si>
    <t>ENGS26</t>
  </si>
  <si>
    <t>ENGS27</t>
  </si>
  <si>
    <t>ENGS28</t>
  </si>
  <si>
    <t>ENGS29</t>
  </si>
  <si>
    <t>ENGS30</t>
  </si>
  <si>
    <t>ENGS31</t>
  </si>
  <si>
    <t>ENGS32</t>
  </si>
  <si>
    <t>ENGS33</t>
  </si>
  <si>
    <t>ENGS34</t>
  </si>
  <si>
    <t>ENGS35</t>
  </si>
  <si>
    <t>ENGS36</t>
  </si>
  <si>
    <t>ENGS37</t>
  </si>
  <si>
    <t>ENGS38</t>
  </si>
  <si>
    <t>ENGS39</t>
  </si>
  <si>
    <t>TRZ-MJB</t>
  </si>
  <si>
    <t>Engsel Norgen Stainless 3"</t>
  </si>
  <si>
    <t>RY-SBA</t>
  </si>
  <si>
    <t>Engsel Nishio Stainless 3"</t>
  </si>
  <si>
    <t>Engsel Wilmer Kuning 3"</t>
  </si>
  <si>
    <t>Engsel NPH Kuning 3"</t>
  </si>
  <si>
    <t>Engsel Oliq Stailess 3"</t>
  </si>
  <si>
    <t>Engsel VSM Stainless 3"</t>
  </si>
  <si>
    <t>Engsel GRT Stainless 3"</t>
  </si>
  <si>
    <t>Engsel Amani Kuning 3"</t>
  </si>
  <si>
    <t>WU-DL</t>
  </si>
  <si>
    <t>Engsel Sadtem Kuning 3"</t>
  </si>
  <si>
    <t>Engsel HPP Stainless 3"</t>
  </si>
  <si>
    <t>Engsel Iron Hinges 4"</t>
  </si>
  <si>
    <t>Engsel FRT Stainless 4"</t>
  </si>
  <si>
    <t>Engsel OPO Stainless 4"</t>
  </si>
  <si>
    <t>Engsel HPP Stainless 4"</t>
  </si>
  <si>
    <t>WSW-SBA</t>
  </si>
  <si>
    <t>XZ-JM</t>
  </si>
  <si>
    <t>ENGSEL20</t>
  </si>
  <si>
    <t>ENGSEL21</t>
  </si>
  <si>
    <t>Engsel Vintage Aluminum 3"</t>
  </si>
  <si>
    <t>ENGSEL22</t>
  </si>
  <si>
    <t>Engsel Belucci Silver 5"</t>
  </si>
  <si>
    <t>Engsel Belucci Silver 3"</t>
  </si>
  <si>
    <t>Engsel Belucci Silver 4"</t>
  </si>
  <si>
    <t>Engsel Tipis C-2 1/2"</t>
  </si>
  <si>
    <t>WWZ-SMK</t>
  </si>
  <si>
    <t>Engsel1</t>
  </si>
  <si>
    <t>Engsel Sendok Bengkok Biasa Arneta</t>
  </si>
  <si>
    <t>Engsel Sendok 1/2 Bengkok Arnetta</t>
  </si>
  <si>
    <t>Engsel Sendok Lurus Arnetta</t>
  </si>
  <si>
    <t>VU-DL</t>
  </si>
  <si>
    <t>VRU-DL</t>
  </si>
  <si>
    <t>Engsel2</t>
  </si>
  <si>
    <t>Engsel3</t>
  </si>
  <si>
    <t>Engsel4</t>
  </si>
  <si>
    <t>Engsel Sendok Bengkok</t>
  </si>
  <si>
    <t>Engsel Sendok Lurus</t>
  </si>
  <si>
    <t>WZ-UT</t>
  </si>
  <si>
    <t>Engsel5</t>
  </si>
  <si>
    <t>Engsel6</t>
  </si>
  <si>
    <t>Kode Barang</t>
  </si>
  <si>
    <t>Engsel YSK 2"</t>
  </si>
  <si>
    <t>Engsel Miami 2"</t>
  </si>
  <si>
    <t>Engsel Majesty 2,5"</t>
  </si>
  <si>
    <t>Engsel Wanly 2,5"</t>
  </si>
  <si>
    <t>Engsel Hinges 2,5"</t>
  </si>
  <si>
    <t>RUU-DL</t>
  </si>
  <si>
    <t>QZ-MPU</t>
  </si>
  <si>
    <t>SZ-SBA</t>
  </si>
  <si>
    <t>SQ-SMK</t>
  </si>
  <si>
    <t>QQTU-SMK</t>
  </si>
  <si>
    <t>Engsel Majesty 3"</t>
  </si>
  <si>
    <t>Engsel Classic 3"</t>
  </si>
  <si>
    <t>SRU-UT</t>
  </si>
  <si>
    <t>SR-UT</t>
  </si>
  <si>
    <t>Engsel Vintage 3'</t>
  </si>
  <si>
    <t>Engsel Norgen 3"</t>
  </si>
  <si>
    <t>Engsel Nishio 3"</t>
  </si>
  <si>
    <t>Engsel VSM 3"</t>
  </si>
  <si>
    <t>Engsel Amani 3"</t>
  </si>
  <si>
    <t>Engsel Sadtem 3"</t>
  </si>
  <si>
    <t>Engsel Bellucci 3"</t>
  </si>
  <si>
    <t>Engsel Oliq 3"</t>
  </si>
  <si>
    <t>WU-SBA</t>
  </si>
  <si>
    <t>Engsel Gudang 3"</t>
  </si>
  <si>
    <t>RS-UT</t>
  </si>
  <si>
    <t>Engsel HPP 3" A</t>
  </si>
  <si>
    <t>Engsel HPP 3" B</t>
  </si>
  <si>
    <t>Engsel 3x2,5 NPH</t>
  </si>
  <si>
    <t>Engsel 3x2,5 GRT</t>
  </si>
  <si>
    <t>Engsel 3x2,5 CP</t>
  </si>
  <si>
    <t>Engsel Gudang 4"</t>
  </si>
  <si>
    <t>Engsel Hinges 4"</t>
  </si>
  <si>
    <t>Engsel Veer IGM 4"</t>
  </si>
  <si>
    <t>QXW</t>
  </si>
  <si>
    <t>UW-UT</t>
  </si>
  <si>
    <t>TR-UT</t>
  </si>
  <si>
    <t>Engsel SSK 4"</t>
  </si>
  <si>
    <t>RU-SMK</t>
  </si>
  <si>
    <t>Engsel Wanly 4"</t>
  </si>
  <si>
    <t>Engsel Rocca 4"</t>
  </si>
  <si>
    <t>Engsel Norgen 4"</t>
  </si>
  <si>
    <t>QT-SMK</t>
  </si>
  <si>
    <t>QTU-KA</t>
  </si>
  <si>
    <t>QWU-JT</t>
  </si>
  <si>
    <t>Engsel Vintage 4"</t>
  </si>
  <si>
    <t>SU-SBA</t>
  </si>
  <si>
    <t>Engsel Bellucci 4" S</t>
  </si>
  <si>
    <t>TUX-BB</t>
  </si>
  <si>
    <t>Engsel GRT 4"</t>
  </si>
  <si>
    <t>Engsel Erdos 4"</t>
  </si>
  <si>
    <t>Engsel Sadtem 4"</t>
  </si>
  <si>
    <t>Engsel Amani 4"</t>
  </si>
  <si>
    <t>Engsel HPP 4"</t>
  </si>
  <si>
    <t>Engsel Opo 4"</t>
  </si>
  <si>
    <t>Engsel FRT 4"</t>
  </si>
  <si>
    <t>RU</t>
  </si>
  <si>
    <t>QR-TW</t>
  </si>
  <si>
    <t>QTU-UT</t>
  </si>
  <si>
    <t>WZ-JT</t>
  </si>
  <si>
    <t>WZ-GMP</t>
  </si>
  <si>
    <t>WZ-JLT</t>
  </si>
  <si>
    <t>Engsel NPH 4"</t>
  </si>
  <si>
    <t>QRX-NPH</t>
  </si>
  <si>
    <t>Engsel Bellucci WH 5"</t>
  </si>
  <si>
    <t>Engsel Bellucci SMN 5"</t>
  </si>
  <si>
    <t>Engsel VPR 5"</t>
  </si>
  <si>
    <t>Engsel Norgen 5"</t>
  </si>
  <si>
    <t>RZ-TW</t>
  </si>
  <si>
    <t>QRU-JT</t>
  </si>
  <si>
    <t>Engsel Aocos 5"</t>
  </si>
  <si>
    <t>Engsel Bellucci WH 4"</t>
  </si>
  <si>
    <t>Engsel Bellucci BLK 4"</t>
  </si>
  <si>
    <t>engsel2-1</t>
  </si>
  <si>
    <t>engsel2-2</t>
  </si>
  <si>
    <t>engsel2,5-1</t>
  </si>
  <si>
    <t>engsel2,5-2</t>
  </si>
  <si>
    <t>engsel2,5-3</t>
  </si>
  <si>
    <t>engsel3-1</t>
  </si>
  <si>
    <t>engsel3-2</t>
  </si>
  <si>
    <t>engsel3-3</t>
  </si>
  <si>
    <t>engsel3-4</t>
  </si>
  <si>
    <t>engsel3-5</t>
  </si>
  <si>
    <t>engsel3-6</t>
  </si>
  <si>
    <t>engsel3-7</t>
  </si>
  <si>
    <t>engsel3-8</t>
  </si>
  <si>
    <t>engsel3-9</t>
  </si>
  <si>
    <t>engsel3-10</t>
  </si>
  <si>
    <t>engsel3-11</t>
  </si>
  <si>
    <t>engsel3-12</t>
  </si>
  <si>
    <t>engsel3-13</t>
  </si>
  <si>
    <t>engsel3,5-1</t>
  </si>
  <si>
    <t>engsel3,5-2</t>
  </si>
  <si>
    <t>engsel3,5-3</t>
  </si>
  <si>
    <t>engsel4-1</t>
  </si>
  <si>
    <t>engsel4-2</t>
  </si>
  <si>
    <t>engsel4-3</t>
  </si>
  <si>
    <t>engsel4-4</t>
  </si>
  <si>
    <t>engsel4-5</t>
  </si>
  <si>
    <t>engsel4-6</t>
  </si>
  <si>
    <t>engsel4-7</t>
  </si>
  <si>
    <t>engsel4-8</t>
  </si>
  <si>
    <t>engsel4-9</t>
  </si>
  <si>
    <t>engsel4-10</t>
  </si>
  <si>
    <t>engsel4-11</t>
  </si>
  <si>
    <t>engsel4-12</t>
  </si>
  <si>
    <t>engsel4-13</t>
  </si>
  <si>
    <t>engsel4-14</t>
  </si>
  <si>
    <t>engsel4-15</t>
  </si>
  <si>
    <t>engsel4-16</t>
  </si>
  <si>
    <t>engsel4-17</t>
  </si>
  <si>
    <t>engsel4-18</t>
  </si>
  <si>
    <t>engsel4-19</t>
  </si>
  <si>
    <t>engsel4-20</t>
  </si>
  <si>
    <t>engsel5-1</t>
  </si>
  <si>
    <t>engsel5-2</t>
  </si>
  <si>
    <t>engsel5-3</t>
  </si>
  <si>
    <t>engsel5-4</t>
  </si>
  <si>
    <t>engsel5-5</t>
  </si>
  <si>
    <t>XVX-PJ/KM</t>
  </si>
  <si>
    <t>engsel43-1</t>
  </si>
  <si>
    <t>Engsel Bellucci 4x3 White</t>
  </si>
  <si>
    <t>XU-DL</t>
  </si>
  <si>
    <t>Engsel Texas 4"Kuning</t>
  </si>
  <si>
    <t>Engsel Texas 4" Putih</t>
  </si>
  <si>
    <t>QQRU-SMK</t>
  </si>
  <si>
    <t>engsel4-21</t>
  </si>
  <si>
    <t>engsel4-22</t>
  </si>
  <si>
    <t>Engsel GRT 2,5" Kuning</t>
  </si>
  <si>
    <t>engsel2,5-4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</si>
</sst>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42" fontId="0" fillId="0" borderId="0" xfId="0" applyNumberFormat="1"/>
    <xf numFmtId="42" fontId="1" fillId="4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42" fontId="1" fillId="0" borderId="2" xfId="0" applyNumberFormat="1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42" fontId="1" fillId="0" borderId="3" xfId="0" applyNumberFormat="1" applyFont="1" applyBorder="1" applyAlignment="1">
      <alignment horizontal="left" vertical="center"/>
    </xf>
    <xf numFmtId="164" fontId="3" fillId="0" borderId="3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2" fontId="1" fillId="0" borderId="4" xfId="0" applyNumberFormat="1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42" fontId="1" fillId="5" borderId="1" xfId="0" applyNumberFormat="1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42" fontId="1" fillId="5" borderId="5" xfId="0" applyNumberFormat="1" applyFont="1" applyFill="1" applyBorder="1" applyAlignment="1">
      <alignment horizontal="left" vertical="center"/>
    </xf>
    <xf numFmtId="164" fontId="3" fillId="5" borderId="5" xfId="0" applyNumberFormat="1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42" fontId="1" fillId="0" borderId="7" xfId="0" applyNumberFormat="1" applyFont="1" applyBorder="1" applyAlignment="1">
      <alignment horizontal="left" vertical="center"/>
    </xf>
    <xf numFmtId="164" fontId="3" fillId="0" borderId="7" xfId="0" applyNumberFormat="1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0" fillId="5" borderId="5" xfId="0" applyFill="1" applyBorder="1"/>
    <xf numFmtId="42" fontId="1" fillId="5" borderId="10" xfId="0" applyNumberFormat="1" applyFont="1" applyFill="1" applyBorder="1" applyAlignment="1">
      <alignment horizontal="left" vertical="center"/>
    </xf>
    <xf numFmtId="164" fontId="3" fillId="5" borderId="7" xfId="0" applyNumberFormat="1" applyFont="1" applyFill="1" applyBorder="1" applyAlignment="1">
      <alignment horizontal="left" vertical="center"/>
    </xf>
    <xf numFmtId="42" fontId="1" fillId="5" borderId="7" xfId="0" applyNumberFormat="1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center" vertical="center"/>
    </xf>
    <xf numFmtId="0" fontId="0" fillId="5" borderId="0" xfId="0" applyFill="1"/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0DE9-3C41-4755-81CD-0FF1908BED4F}">
  <dimension ref="A1:J1027"/>
  <sheetViews>
    <sheetView tabSelected="1" workbookViewId="0">
      <pane ySplit="3" topLeftCell="A13" activePane="bottomLeft" state="frozen"/>
      <selection pane="bottomLeft" activeCell="C57" sqref="C57"/>
    </sheetView>
  </sheetViews>
  <sheetFormatPr defaultColWidth="14.42578125" defaultRowHeight="15" customHeight="1" x14ac:dyDescent="0.25"/>
  <cols>
    <col min="1" max="1" width="13" customWidth="1"/>
    <col min="2" max="2" width="14.5703125" customWidth="1"/>
    <col min="3" max="3" width="30.42578125" customWidth="1"/>
    <col min="4" max="4" width="16.42578125" style="22" customWidth="1"/>
    <col min="5" max="5" width="14.42578125" customWidth="1"/>
    <col min="6" max="6" width="16" style="22" customWidth="1"/>
    <col min="7" max="7" width="9.140625" style="14" customWidth="1"/>
    <col min="8" max="8" width="15" style="22" customWidth="1"/>
    <col min="9" max="26" width="8.7109375" customWidth="1"/>
  </cols>
  <sheetData>
    <row r="1" spans="1:10" ht="20.100000000000001" customHeight="1" x14ac:dyDescent="0.25">
      <c r="B1" s="67" t="s">
        <v>7</v>
      </c>
      <c r="C1" s="67"/>
      <c r="D1" s="67"/>
      <c r="E1" s="67"/>
      <c r="F1" s="18"/>
    </row>
    <row r="2" spans="1:10" ht="14.25" customHeight="1" x14ac:dyDescent="0.25">
      <c r="B2" s="1"/>
      <c r="D2" s="18"/>
      <c r="E2" s="2"/>
      <c r="F2" s="18"/>
      <c r="J2" s="3"/>
    </row>
    <row r="3" spans="1:10" ht="19.5" customHeight="1" x14ac:dyDescent="0.25">
      <c r="A3" s="4" t="s">
        <v>0</v>
      </c>
      <c r="B3" s="5" t="s">
        <v>1</v>
      </c>
      <c r="C3" s="10" t="s">
        <v>2</v>
      </c>
      <c r="D3" s="19" t="s">
        <v>3</v>
      </c>
      <c r="E3" s="6" t="s">
        <v>89</v>
      </c>
      <c r="F3" s="19" t="s">
        <v>5</v>
      </c>
      <c r="G3" s="4" t="s">
        <v>6</v>
      </c>
      <c r="J3" s="7"/>
    </row>
    <row r="4" spans="1:10" ht="14.25" customHeight="1" x14ac:dyDescent="0.25">
      <c r="A4" s="9" t="s">
        <v>162</v>
      </c>
      <c r="B4" s="8">
        <v>254103</v>
      </c>
      <c r="C4" s="9" t="s">
        <v>90</v>
      </c>
      <c r="D4" s="20">
        <v>2550</v>
      </c>
      <c r="E4" s="12" t="s">
        <v>95</v>
      </c>
      <c r="F4" s="20">
        <v>8000</v>
      </c>
      <c r="G4" s="13">
        <v>20</v>
      </c>
      <c r="H4" s="22">
        <f>F4-D4</f>
        <v>5450</v>
      </c>
    </row>
    <row r="5" spans="1:10" ht="14.25" customHeight="1" x14ac:dyDescent="0.25">
      <c r="A5" s="9" t="s">
        <v>163</v>
      </c>
      <c r="B5" s="8">
        <v>254104</v>
      </c>
      <c r="C5" s="9" t="s">
        <v>91</v>
      </c>
      <c r="D5" s="20">
        <v>1000</v>
      </c>
      <c r="E5" s="12" t="s">
        <v>96</v>
      </c>
      <c r="F5" s="20">
        <v>8000</v>
      </c>
      <c r="G5" s="13">
        <v>20</v>
      </c>
      <c r="H5" s="22">
        <f>F5-D5</f>
        <v>7000</v>
      </c>
    </row>
    <row r="6" spans="1:10" ht="14.25" customHeight="1" x14ac:dyDescent="0.25">
      <c r="A6" s="31"/>
      <c r="B6" s="32"/>
      <c r="C6" s="31"/>
      <c r="D6" s="33"/>
      <c r="E6" s="34"/>
      <c r="F6" s="33"/>
      <c r="G6" s="35"/>
    </row>
    <row r="7" spans="1:10" ht="14.25" customHeight="1" x14ac:dyDescent="0.25">
      <c r="A7" s="36"/>
      <c r="B7" s="37"/>
      <c r="C7" s="36"/>
      <c r="D7" s="38"/>
      <c r="E7" s="39"/>
      <c r="F7" s="38"/>
      <c r="G7" s="40"/>
    </row>
    <row r="8" spans="1:10" ht="14.25" customHeight="1" x14ac:dyDescent="0.25">
      <c r="A8" s="26" t="s">
        <v>164</v>
      </c>
      <c r="B8" s="8">
        <v>247104</v>
      </c>
      <c r="C8" s="26" t="s">
        <v>92</v>
      </c>
      <c r="D8" s="28">
        <v>3000</v>
      </c>
      <c r="E8" s="29" t="s">
        <v>97</v>
      </c>
      <c r="F8" s="28">
        <v>6000</v>
      </c>
      <c r="G8" s="30">
        <v>22</v>
      </c>
      <c r="H8" s="22">
        <f t="shared" ref="H8:H63" si="0">F8-D8</f>
        <v>3000</v>
      </c>
    </row>
    <row r="9" spans="1:10" ht="14.25" customHeight="1" x14ac:dyDescent="0.25">
      <c r="A9" s="9" t="s">
        <v>165</v>
      </c>
      <c r="B9" s="8">
        <v>247105</v>
      </c>
      <c r="C9" s="9" t="s">
        <v>93</v>
      </c>
      <c r="D9" s="20">
        <v>3100</v>
      </c>
      <c r="E9" s="12" t="s">
        <v>98</v>
      </c>
      <c r="F9" s="20">
        <v>8000</v>
      </c>
      <c r="G9" s="13">
        <v>16</v>
      </c>
      <c r="H9" s="22">
        <f t="shared" si="0"/>
        <v>4900</v>
      </c>
    </row>
    <row r="10" spans="1:10" ht="14.25" customHeight="1" x14ac:dyDescent="0.25">
      <c r="A10" s="9" t="s">
        <v>166</v>
      </c>
      <c r="B10" s="8">
        <v>247106</v>
      </c>
      <c r="C10" s="9" t="s">
        <v>94</v>
      </c>
      <c r="D10" s="20">
        <v>1145</v>
      </c>
      <c r="E10" s="12" t="s">
        <v>99</v>
      </c>
      <c r="F10" s="20">
        <v>3000</v>
      </c>
      <c r="G10" s="13">
        <v>48</v>
      </c>
      <c r="H10" s="22">
        <f t="shared" si="0"/>
        <v>1855</v>
      </c>
    </row>
    <row r="11" spans="1:10" ht="14.25" customHeight="1" x14ac:dyDescent="0.25">
      <c r="A11" s="9" t="s">
        <v>218</v>
      </c>
      <c r="B11" s="8">
        <v>247107</v>
      </c>
      <c r="C11" s="66" t="s">
        <v>217</v>
      </c>
      <c r="D11" s="64">
        <v>2500</v>
      </c>
      <c r="E11" s="63" t="s">
        <v>127</v>
      </c>
      <c r="F11" s="64">
        <v>7000</v>
      </c>
      <c r="G11" s="65">
        <v>120</v>
      </c>
    </row>
    <row r="12" spans="1:10" ht="14.25" customHeight="1" x14ac:dyDescent="0.25">
      <c r="A12" s="31"/>
      <c r="B12" s="32"/>
      <c r="C12" s="31"/>
      <c r="D12" s="33"/>
      <c r="E12" s="34"/>
      <c r="F12" s="33"/>
      <c r="G12" s="35"/>
    </row>
    <row r="13" spans="1:10" ht="14.25" customHeight="1" x14ac:dyDescent="0.25">
      <c r="A13" s="36"/>
      <c r="B13" s="37"/>
      <c r="C13" s="36"/>
      <c r="D13" s="38"/>
      <c r="E13" s="39"/>
      <c r="F13" s="38"/>
      <c r="G13" s="40"/>
    </row>
    <row r="14" spans="1:10" ht="14.25" customHeight="1" x14ac:dyDescent="0.25">
      <c r="A14" s="26" t="s">
        <v>167</v>
      </c>
      <c r="B14" s="8">
        <v>200104</v>
      </c>
      <c r="C14" s="26" t="s">
        <v>100</v>
      </c>
      <c r="D14" s="28">
        <v>3250</v>
      </c>
      <c r="E14" s="29" t="s">
        <v>102</v>
      </c>
      <c r="F14" s="28">
        <v>8000</v>
      </c>
      <c r="G14" s="30">
        <v>24</v>
      </c>
      <c r="H14" s="22">
        <f t="shared" si="0"/>
        <v>4750</v>
      </c>
    </row>
    <row r="15" spans="1:10" ht="14.25" customHeight="1" x14ac:dyDescent="0.25">
      <c r="A15" s="26" t="s">
        <v>168</v>
      </c>
      <c r="B15" s="8">
        <v>200105</v>
      </c>
      <c r="C15" s="9" t="s">
        <v>115</v>
      </c>
      <c r="D15" s="20">
        <v>3200</v>
      </c>
      <c r="E15" s="12" t="s">
        <v>103</v>
      </c>
      <c r="F15" s="20">
        <v>10000</v>
      </c>
      <c r="G15" s="13">
        <v>156</v>
      </c>
      <c r="H15" s="22">
        <f t="shared" si="0"/>
        <v>6800</v>
      </c>
    </row>
    <row r="16" spans="1:10" ht="14.25" customHeight="1" x14ac:dyDescent="0.25">
      <c r="A16" s="26" t="s">
        <v>169</v>
      </c>
      <c r="B16" s="8">
        <v>200106</v>
      </c>
      <c r="C16" s="9" t="s">
        <v>116</v>
      </c>
      <c r="D16" s="20">
        <v>6500</v>
      </c>
      <c r="E16" s="12" t="s">
        <v>8</v>
      </c>
      <c r="F16" s="20">
        <v>15000</v>
      </c>
      <c r="G16" s="13">
        <v>151</v>
      </c>
      <c r="H16" s="22">
        <f t="shared" si="0"/>
        <v>8500</v>
      </c>
    </row>
    <row r="17" spans="1:8" ht="14.25" customHeight="1" x14ac:dyDescent="0.25">
      <c r="A17" s="26" t="s">
        <v>170</v>
      </c>
      <c r="B17" s="8">
        <v>200107</v>
      </c>
      <c r="C17" s="9" t="s">
        <v>101</v>
      </c>
      <c r="D17" s="20"/>
      <c r="E17" s="12"/>
      <c r="F17" s="20"/>
      <c r="G17" s="13"/>
    </row>
    <row r="18" spans="1:8" ht="14.25" customHeight="1" x14ac:dyDescent="0.25">
      <c r="A18" s="26" t="s">
        <v>171</v>
      </c>
      <c r="B18" s="8">
        <v>200108</v>
      </c>
      <c r="C18" s="9" t="s">
        <v>104</v>
      </c>
      <c r="D18" s="20">
        <v>29000</v>
      </c>
      <c r="E18" s="12" t="s">
        <v>49</v>
      </c>
      <c r="F18" s="20">
        <v>65000</v>
      </c>
      <c r="G18" s="13">
        <v>37</v>
      </c>
      <c r="H18" s="22">
        <f t="shared" si="0"/>
        <v>36000</v>
      </c>
    </row>
    <row r="19" spans="1:8" ht="14.25" customHeight="1" x14ac:dyDescent="0.25">
      <c r="A19" s="26" t="s">
        <v>172</v>
      </c>
      <c r="B19" s="8">
        <v>200109</v>
      </c>
      <c r="C19" s="9" t="s">
        <v>105</v>
      </c>
      <c r="D19" s="20">
        <v>14000</v>
      </c>
      <c r="E19" s="12" t="s">
        <v>16</v>
      </c>
      <c r="F19" s="20">
        <v>28000</v>
      </c>
      <c r="G19" s="13">
        <v>46</v>
      </c>
      <c r="H19" s="22">
        <f t="shared" si="0"/>
        <v>14000</v>
      </c>
    </row>
    <row r="20" spans="1:8" ht="14.25" customHeight="1" x14ac:dyDescent="0.25">
      <c r="A20" s="26" t="s">
        <v>173</v>
      </c>
      <c r="B20" s="8">
        <v>200110</v>
      </c>
      <c r="C20" s="9" t="s">
        <v>106</v>
      </c>
      <c r="D20" s="20">
        <v>13100</v>
      </c>
      <c r="E20" s="12" t="s">
        <v>15</v>
      </c>
      <c r="F20" s="20">
        <v>28000</v>
      </c>
      <c r="G20" s="13">
        <v>20</v>
      </c>
      <c r="H20" s="22">
        <f t="shared" si="0"/>
        <v>14900</v>
      </c>
    </row>
    <row r="21" spans="1:8" ht="14.25" customHeight="1" x14ac:dyDescent="0.25">
      <c r="A21" s="26" t="s">
        <v>174</v>
      </c>
      <c r="B21" s="8">
        <v>200111</v>
      </c>
      <c r="C21" s="41" t="s">
        <v>107</v>
      </c>
      <c r="D21" s="42">
        <v>8500</v>
      </c>
      <c r="E21" s="43" t="s">
        <v>211</v>
      </c>
      <c r="F21" s="42">
        <v>20000</v>
      </c>
      <c r="G21" s="44">
        <v>36</v>
      </c>
      <c r="H21" s="22">
        <f t="shared" si="0"/>
        <v>11500</v>
      </c>
    </row>
    <row r="22" spans="1:8" ht="14.25" customHeight="1" x14ac:dyDescent="0.25">
      <c r="A22" s="26" t="s">
        <v>175</v>
      </c>
      <c r="B22" s="8">
        <v>200112</v>
      </c>
      <c r="C22" s="9" t="s">
        <v>111</v>
      </c>
      <c r="D22" s="20">
        <v>7500</v>
      </c>
      <c r="E22" s="12" t="s">
        <v>112</v>
      </c>
      <c r="F22" s="20">
        <v>17000</v>
      </c>
      <c r="G22" s="13">
        <v>12</v>
      </c>
      <c r="H22" s="22">
        <f t="shared" si="0"/>
        <v>9500</v>
      </c>
    </row>
    <row r="23" spans="1:8" ht="14.25" customHeight="1" x14ac:dyDescent="0.25">
      <c r="A23" s="26" t="s">
        <v>176</v>
      </c>
      <c r="B23" s="8">
        <v>200113</v>
      </c>
      <c r="C23" s="9" t="s">
        <v>108</v>
      </c>
      <c r="D23" s="20">
        <v>7000</v>
      </c>
      <c r="E23" s="12" t="s">
        <v>10</v>
      </c>
      <c r="F23" s="20">
        <v>15000</v>
      </c>
      <c r="G23" s="13">
        <v>34</v>
      </c>
      <c r="H23" s="22">
        <f t="shared" si="0"/>
        <v>8000</v>
      </c>
    </row>
    <row r="24" spans="1:8" ht="14.25" customHeight="1" x14ac:dyDescent="0.25">
      <c r="A24" s="26" t="s">
        <v>177</v>
      </c>
      <c r="B24" s="8">
        <v>200114</v>
      </c>
      <c r="C24" s="9" t="s">
        <v>109</v>
      </c>
      <c r="D24" s="20">
        <v>6600</v>
      </c>
      <c r="E24" s="12" t="s">
        <v>9</v>
      </c>
      <c r="F24" s="20">
        <v>15000</v>
      </c>
      <c r="G24" s="13">
        <v>42</v>
      </c>
      <c r="H24" s="22">
        <f t="shared" si="0"/>
        <v>8400</v>
      </c>
    </row>
    <row r="25" spans="1:8" ht="14.25" customHeight="1" x14ac:dyDescent="0.25">
      <c r="A25" s="26" t="s">
        <v>178</v>
      </c>
      <c r="B25" s="8">
        <v>200115</v>
      </c>
      <c r="C25" s="9" t="s">
        <v>110</v>
      </c>
      <c r="D25" s="20">
        <v>3500</v>
      </c>
      <c r="E25" s="12" t="s">
        <v>20</v>
      </c>
      <c r="F25" s="20">
        <v>65000</v>
      </c>
      <c r="G25" s="13">
        <v>119</v>
      </c>
      <c r="H25" s="22">
        <f t="shared" si="0"/>
        <v>61500</v>
      </c>
    </row>
    <row r="26" spans="1:8" ht="14.25" customHeight="1" x14ac:dyDescent="0.25">
      <c r="A26" s="26" t="s">
        <v>179</v>
      </c>
      <c r="B26" s="8">
        <v>200116</v>
      </c>
      <c r="C26" s="9" t="s">
        <v>113</v>
      </c>
      <c r="D26" s="20">
        <v>23000</v>
      </c>
      <c r="E26" s="12" t="s">
        <v>114</v>
      </c>
      <c r="F26" s="20">
        <v>75000</v>
      </c>
      <c r="G26" s="13">
        <v>2</v>
      </c>
      <c r="H26" s="22">
        <f t="shared" si="0"/>
        <v>52000</v>
      </c>
    </row>
    <row r="27" spans="1:8" ht="14.25" customHeight="1" x14ac:dyDescent="0.25">
      <c r="A27" s="31"/>
      <c r="B27" s="32"/>
      <c r="C27" s="31"/>
      <c r="D27" s="33"/>
      <c r="E27" s="34"/>
      <c r="F27" s="33"/>
      <c r="G27" s="35"/>
    </row>
    <row r="28" spans="1:8" ht="14.25" customHeight="1" x14ac:dyDescent="0.25">
      <c r="A28" s="36"/>
      <c r="B28" s="37"/>
      <c r="C28" s="36"/>
      <c r="D28" s="38"/>
      <c r="E28" s="39"/>
      <c r="F28" s="38"/>
      <c r="G28" s="40"/>
    </row>
    <row r="29" spans="1:8" ht="14.25" customHeight="1" x14ac:dyDescent="0.25">
      <c r="A29" s="26" t="s">
        <v>180</v>
      </c>
      <c r="B29" s="27">
        <v>254446</v>
      </c>
      <c r="C29" s="26" t="s">
        <v>117</v>
      </c>
      <c r="D29" s="28">
        <v>9200</v>
      </c>
      <c r="E29" s="29" t="s">
        <v>13</v>
      </c>
      <c r="F29" s="28">
        <v>25000</v>
      </c>
      <c r="G29" s="30">
        <v>47</v>
      </c>
      <c r="H29" s="22">
        <f t="shared" si="0"/>
        <v>15800</v>
      </c>
    </row>
    <row r="30" spans="1:8" ht="14.25" customHeight="1" x14ac:dyDescent="0.25">
      <c r="A30" s="26" t="s">
        <v>181</v>
      </c>
      <c r="B30" s="27">
        <v>254447</v>
      </c>
      <c r="C30" s="41" t="s">
        <v>118</v>
      </c>
      <c r="D30" s="42">
        <v>8680</v>
      </c>
      <c r="E30" s="43" t="s">
        <v>208</v>
      </c>
      <c r="F30" s="42">
        <v>17000</v>
      </c>
      <c r="G30" s="44">
        <v>36</v>
      </c>
      <c r="H30" s="22">
        <f t="shared" si="0"/>
        <v>8320</v>
      </c>
    </row>
    <row r="31" spans="1:8" ht="14.25" customHeight="1" x14ac:dyDescent="0.25">
      <c r="A31" s="26" t="s">
        <v>182</v>
      </c>
      <c r="B31" s="27">
        <v>254448</v>
      </c>
      <c r="C31" s="9" t="s">
        <v>119</v>
      </c>
      <c r="D31" s="20"/>
      <c r="E31" s="12"/>
      <c r="F31" s="20"/>
      <c r="G31" s="13"/>
    </row>
    <row r="32" spans="1:8" ht="14.25" customHeight="1" x14ac:dyDescent="0.25">
      <c r="A32" s="31"/>
      <c r="B32" s="32"/>
      <c r="C32" s="31"/>
      <c r="D32" s="33"/>
      <c r="E32" s="34"/>
      <c r="F32" s="33"/>
      <c r="G32" s="35"/>
    </row>
    <row r="33" spans="1:8" ht="14.25" customHeight="1" x14ac:dyDescent="0.25">
      <c r="A33" s="36"/>
      <c r="B33" s="37"/>
      <c r="C33" s="36"/>
      <c r="D33" s="38"/>
      <c r="E33" s="39"/>
      <c r="F33" s="38"/>
      <c r="G33" s="40"/>
    </row>
    <row r="34" spans="1:8" ht="14.25" customHeight="1" x14ac:dyDescent="0.25">
      <c r="A34" s="26" t="s">
        <v>183</v>
      </c>
      <c r="B34" s="27">
        <v>472851</v>
      </c>
      <c r="C34" s="26" t="s">
        <v>121</v>
      </c>
      <c r="D34" s="28">
        <v>1870</v>
      </c>
      <c r="E34" s="29" t="s">
        <v>123</v>
      </c>
      <c r="F34" s="28">
        <v>5000</v>
      </c>
      <c r="G34" s="30">
        <v>12</v>
      </c>
      <c r="H34" s="22">
        <f t="shared" si="0"/>
        <v>3130</v>
      </c>
    </row>
    <row r="35" spans="1:8" ht="14.25" customHeight="1" x14ac:dyDescent="0.25">
      <c r="A35" s="26" t="s">
        <v>184</v>
      </c>
      <c r="B35" s="27">
        <v>472852</v>
      </c>
      <c r="C35" s="9" t="s">
        <v>60</v>
      </c>
      <c r="D35" s="20">
        <v>2500</v>
      </c>
      <c r="E35" s="12" t="s">
        <v>145</v>
      </c>
      <c r="F35" s="20">
        <v>38000</v>
      </c>
      <c r="G35" s="13">
        <v>160</v>
      </c>
      <c r="H35" s="22">
        <f t="shared" si="0"/>
        <v>35500</v>
      </c>
    </row>
    <row r="36" spans="1:8" ht="14.25" customHeight="1" x14ac:dyDescent="0.25">
      <c r="A36" s="26" t="s">
        <v>185</v>
      </c>
      <c r="B36" s="27">
        <v>472853</v>
      </c>
      <c r="C36" s="9" t="s">
        <v>122</v>
      </c>
      <c r="D36" s="20">
        <v>57000</v>
      </c>
      <c r="E36" s="12" t="s">
        <v>124</v>
      </c>
      <c r="F36" s="20">
        <v>75000</v>
      </c>
      <c r="G36" s="13">
        <v>2</v>
      </c>
      <c r="H36" s="22">
        <f t="shared" si="0"/>
        <v>18000</v>
      </c>
    </row>
    <row r="37" spans="1:8" ht="14.25" customHeight="1" x14ac:dyDescent="0.25">
      <c r="A37" s="26" t="s">
        <v>186</v>
      </c>
      <c r="B37" s="27">
        <v>472854</v>
      </c>
      <c r="C37" s="9" t="s">
        <v>120</v>
      </c>
      <c r="D37" s="20">
        <v>42000</v>
      </c>
      <c r="E37" s="12" t="s">
        <v>125</v>
      </c>
      <c r="F37" s="20">
        <v>75000</v>
      </c>
      <c r="G37" s="13">
        <v>2</v>
      </c>
      <c r="H37" s="22">
        <f t="shared" si="0"/>
        <v>33000</v>
      </c>
    </row>
    <row r="38" spans="1:8" ht="14.25" customHeight="1" x14ac:dyDescent="0.25">
      <c r="A38" s="26" t="s">
        <v>187</v>
      </c>
      <c r="B38" s="27">
        <v>472855</v>
      </c>
      <c r="C38" s="9" t="s">
        <v>126</v>
      </c>
      <c r="D38" s="20">
        <v>25000</v>
      </c>
      <c r="E38" s="12" t="s">
        <v>127</v>
      </c>
      <c r="F38" s="20">
        <v>37000</v>
      </c>
      <c r="G38" s="13">
        <v>70</v>
      </c>
      <c r="H38" s="22">
        <f t="shared" si="0"/>
        <v>12000</v>
      </c>
    </row>
    <row r="39" spans="1:8" ht="14.25" customHeight="1" x14ac:dyDescent="0.25">
      <c r="A39" s="26" t="s">
        <v>188</v>
      </c>
      <c r="B39" s="27">
        <v>472856</v>
      </c>
      <c r="C39" s="9" t="s">
        <v>128</v>
      </c>
      <c r="D39" s="20">
        <v>14000</v>
      </c>
      <c r="E39" s="12" t="s">
        <v>131</v>
      </c>
      <c r="F39" s="20">
        <v>35000</v>
      </c>
      <c r="G39" s="13">
        <v>11</v>
      </c>
      <c r="H39" s="22">
        <f t="shared" si="0"/>
        <v>21000</v>
      </c>
    </row>
    <row r="40" spans="1:8" ht="14.25" customHeight="1" x14ac:dyDescent="0.25">
      <c r="A40" s="26" t="s">
        <v>189</v>
      </c>
      <c r="B40" s="27">
        <v>472857</v>
      </c>
      <c r="C40" s="9" t="s">
        <v>129</v>
      </c>
      <c r="D40" s="20">
        <v>14500</v>
      </c>
      <c r="E40" s="12" t="s">
        <v>132</v>
      </c>
      <c r="F40" s="20">
        <v>30000</v>
      </c>
      <c r="G40" s="13">
        <v>16</v>
      </c>
      <c r="H40" s="22">
        <f t="shared" si="0"/>
        <v>15500</v>
      </c>
    </row>
    <row r="41" spans="1:8" ht="14.25" customHeight="1" x14ac:dyDescent="0.25">
      <c r="A41" s="26" t="s">
        <v>190</v>
      </c>
      <c r="B41" s="27">
        <v>472858</v>
      </c>
      <c r="C41" s="9" t="s">
        <v>130</v>
      </c>
      <c r="D41" s="20">
        <v>17500</v>
      </c>
      <c r="E41" s="12" t="s">
        <v>133</v>
      </c>
      <c r="F41" s="20">
        <v>35000</v>
      </c>
      <c r="G41" s="13">
        <v>81</v>
      </c>
      <c r="H41" s="22">
        <f t="shared" si="0"/>
        <v>17500</v>
      </c>
    </row>
    <row r="42" spans="1:8" ht="14.25" customHeight="1" x14ac:dyDescent="0.25">
      <c r="A42" s="26" t="s">
        <v>191</v>
      </c>
      <c r="B42" s="27">
        <v>472859</v>
      </c>
      <c r="C42" s="9" t="s">
        <v>134</v>
      </c>
      <c r="D42" s="20">
        <v>35000</v>
      </c>
      <c r="E42" s="12" t="s">
        <v>135</v>
      </c>
      <c r="F42" s="20">
        <v>75000</v>
      </c>
      <c r="G42" s="13">
        <v>30</v>
      </c>
      <c r="H42" s="22">
        <f t="shared" si="0"/>
        <v>40000</v>
      </c>
    </row>
    <row r="43" spans="1:8" ht="14.25" customHeight="1" x14ac:dyDescent="0.25">
      <c r="A43" s="26" t="s">
        <v>192</v>
      </c>
      <c r="B43" s="27">
        <v>472860</v>
      </c>
      <c r="C43" s="9" t="s">
        <v>136</v>
      </c>
      <c r="D43" s="20">
        <v>45800</v>
      </c>
      <c r="E43" s="12" t="s">
        <v>137</v>
      </c>
      <c r="F43" s="20">
        <v>85000</v>
      </c>
      <c r="G43" s="13">
        <v>93</v>
      </c>
      <c r="H43" s="22">
        <f t="shared" si="0"/>
        <v>39200</v>
      </c>
    </row>
    <row r="44" spans="1:8" ht="14.25" customHeight="1" x14ac:dyDescent="0.25">
      <c r="A44" s="26" t="s">
        <v>193</v>
      </c>
      <c r="B44" s="27">
        <v>472861</v>
      </c>
      <c r="C44" s="9" t="s">
        <v>160</v>
      </c>
      <c r="D44" s="20">
        <v>45000</v>
      </c>
      <c r="E44" s="12" t="s">
        <v>23</v>
      </c>
      <c r="F44" s="20">
        <v>75000</v>
      </c>
      <c r="G44" s="13">
        <v>3</v>
      </c>
      <c r="H44" s="22">
        <f t="shared" si="0"/>
        <v>30000</v>
      </c>
    </row>
    <row r="45" spans="1:8" ht="14.25" customHeight="1" x14ac:dyDescent="0.25">
      <c r="A45" s="26" t="s">
        <v>194</v>
      </c>
      <c r="B45" s="27">
        <v>472862</v>
      </c>
      <c r="C45" s="9" t="s">
        <v>161</v>
      </c>
      <c r="D45" s="20">
        <v>45000</v>
      </c>
      <c r="E45" s="12" t="s">
        <v>23</v>
      </c>
      <c r="F45" s="20">
        <v>75000</v>
      </c>
      <c r="G45" s="13">
        <v>8</v>
      </c>
      <c r="H45" s="22">
        <f t="shared" si="0"/>
        <v>30000</v>
      </c>
    </row>
    <row r="46" spans="1:8" ht="14.25" customHeight="1" x14ac:dyDescent="0.25">
      <c r="A46" s="26" t="s">
        <v>195</v>
      </c>
      <c r="B46" s="27">
        <v>472863</v>
      </c>
      <c r="C46" s="9" t="s">
        <v>138</v>
      </c>
      <c r="D46" s="20">
        <v>12000</v>
      </c>
      <c r="E46" s="12" t="s">
        <v>146</v>
      </c>
      <c r="F46" s="20">
        <v>30000</v>
      </c>
      <c r="G46" s="13">
        <v>38</v>
      </c>
      <c r="H46" s="22">
        <f t="shared" si="0"/>
        <v>18000</v>
      </c>
    </row>
    <row r="47" spans="1:8" ht="14.25" customHeight="1" x14ac:dyDescent="0.25">
      <c r="A47" s="26" t="s">
        <v>196</v>
      </c>
      <c r="B47" s="27">
        <v>472864</v>
      </c>
      <c r="C47" s="9" t="s">
        <v>139</v>
      </c>
      <c r="D47" s="20">
        <v>14500</v>
      </c>
      <c r="E47" s="12" t="s">
        <v>147</v>
      </c>
      <c r="F47" s="20">
        <v>38000</v>
      </c>
      <c r="G47" s="13">
        <v>27</v>
      </c>
      <c r="H47" s="22">
        <f t="shared" si="0"/>
        <v>23500</v>
      </c>
    </row>
    <row r="48" spans="1:8" ht="14.25" customHeight="1" x14ac:dyDescent="0.25">
      <c r="A48" s="26" t="s">
        <v>197</v>
      </c>
      <c r="B48" s="27">
        <v>472865</v>
      </c>
      <c r="C48" s="9" t="s">
        <v>140</v>
      </c>
      <c r="D48" s="20">
        <v>7000</v>
      </c>
      <c r="E48" s="12" t="s">
        <v>148</v>
      </c>
      <c r="F48" s="20">
        <v>25000</v>
      </c>
      <c r="G48" s="13">
        <v>5</v>
      </c>
      <c r="H48" s="22">
        <f t="shared" si="0"/>
        <v>18000</v>
      </c>
    </row>
    <row r="49" spans="1:8" ht="14.25" customHeight="1" x14ac:dyDescent="0.25">
      <c r="A49" s="26" t="s">
        <v>198</v>
      </c>
      <c r="B49" s="27">
        <v>472866</v>
      </c>
      <c r="C49" s="9" t="s">
        <v>141</v>
      </c>
      <c r="D49" s="20">
        <v>7000</v>
      </c>
      <c r="E49" s="12" t="s">
        <v>149</v>
      </c>
      <c r="F49" s="20">
        <v>20000</v>
      </c>
      <c r="G49" s="13">
        <v>38</v>
      </c>
      <c r="H49" s="22">
        <f t="shared" si="0"/>
        <v>13000</v>
      </c>
    </row>
    <row r="50" spans="1:8" ht="14.25" customHeight="1" x14ac:dyDescent="0.25">
      <c r="A50" s="26" t="s">
        <v>199</v>
      </c>
      <c r="B50" s="27">
        <v>472867</v>
      </c>
      <c r="C50" s="9" t="s">
        <v>142</v>
      </c>
      <c r="D50" s="20">
        <v>8000</v>
      </c>
      <c r="E50" s="12" t="s">
        <v>65</v>
      </c>
      <c r="F50" s="20">
        <v>20000</v>
      </c>
      <c r="G50" s="13">
        <v>87</v>
      </c>
      <c r="H50" s="22">
        <f t="shared" si="0"/>
        <v>12000</v>
      </c>
    </row>
    <row r="51" spans="1:8" ht="14.25" customHeight="1" x14ac:dyDescent="0.25">
      <c r="A51" s="26" t="s">
        <v>200</v>
      </c>
      <c r="B51" s="27">
        <v>472868</v>
      </c>
      <c r="C51" s="9" t="s">
        <v>143</v>
      </c>
      <c r="D51" s="20">
        <v>7000</v>
      </c>
      <c r="E51" s="12" t="s">
        <v>150</v>
      </c>
      <c r="F51" s="20">
        <v>15000</v>
      </c>
      <c r="G51" s="13">
        <v>43</v>
      </c>
      <c r="H51" s="22">
        <f t="shared" si="0"/>
        <v>8000</v>
      </c>
    </row>
    <row r="52" spans="1:8" ht="14.25" customHeight="1" x14ac:dyDescent="0.25">
      <c r="A52" s="26" t="s">
        <v>201</v>
      </c>
      <c r="B52" s="27">
        <v>472869</v>
      </c>
      <c r="C52" s="9" t="s">
        <v>144</v>
      </c>
      <c r="D52" s="20">
        <v>7370</v>
      </c>
      <c r="E52" s="12" t="s">
        <v>64</v>
      </c>
      <c r="F52" s="20">
        <v>15000</v>
      </c>
      <c r="G52" s="13">
        <v>36</v>
      </c>
      <c r="H52" s="22">
        <f t="shared" si="0"/>
        <v>7630</v>
      </c>
    </row>
    <row r="53" spans="1:8" ht="14.25" customHeight="1" x14ac:dyDescent="0.25">
      <c r="A53" s="55" t="s">
        <v>202</v>
      </c>
      <c r="B53" s="56">
        <v>472870</v>
      </c>
      <c r="C53" s="51" t="s">
        <v>151</v>
      </c>
      <c r="D53" s="20">
        <v>12800</v>
      </c>
      <c r="E53" s="12" t="s">
        <v>152</v>
      </c>
      <c r="F53" s="20">
        <v>38000</v>
      </c>
      <c r="G53" s="13">
        <v>49</v>
      </c>
      <c r="H53" s="22">
        <f t="shared" si="0"/>
        <v>25200</v>
      </c>
    </row>
    <row r="54" spans="1:8" ht="14.25" customHeight="1" x14ac:dyDescent="0.25">
      <c r="A54" s="26" t="s">
        <v>215</v>
      </c>
      <c r="B54" s="27">
        <v>472871</v>
      </c>
      <c r="C54" s="61" t="s">
        <v>212</v>
      </c>
      <c r="D54" s="62">
        <v>11250</v>
      </c>
      <c r="E54" s="63" t="s">
        <v>214</v>
      </c>
      <c r="F54" s="64">
        <v>30000</v>
      </c>
      <c r="G54" s="65">
        <v>24</v>
      </c>
      <c r="H54" s="22">
        <f t="shared" si="0"/>
        <v>18750</v>
      </c>
    </row>
    <row r="55" spans="1:8" ht="14.25" customHeight="1" x14ac:dyDescent="0.25">
      <c r="A55" s="55" t="s">
        <v>216</v>
      </c>
      <c r="B55" s="56">
        <v>472872</v>
      </c>
      <c r="C55" s="61" t="s">
        <v>213</v>
      </c>
      <c r="D55" s="62">
        <v>11250</v>
      </c>
      <c r="E55" s="63" t="s">
        <v>214</v>
      </c>
      <c r="F55" s="64">
        <v>30000</v>
      </c>
      <c r="G55" s="65">
        <v>36</v>
      </c>
      <c r="H55" s="22">
        <f t="shared" si="0"/>
        <v>18750</v>
      </c>
    </row>
    <row r="56" spans="1:8" ht="14.25" customHeight="1" x14ac:dyDescent="0.25">
      <c r="A56" s="59"/>
      <c r="B56" s="46"/>
      <c r="C56" s="60"/>
      <c r="D56" s="52"/>
      <c r="E56" s="53"/>
      <c r="F56" s="52"/>
      <c r="G56" s="54"/>
    </row>
    <row r="57" spans="1:8" ht="14.25" customHeight="1" x14ac:dyDescent="0.25">
      <c r="A57" s="57"/>
      <c r="B57" s="58"/>
      <c r="C57" s="31"/>
      <c r="D57" s="33"/>
      <c r="E57" s="34"/>
      <c r="F57" s="33"/>
      <c r="G57" s="35"/>
    </row>
    <row r="58" spans="1:8" ht="14.25" customHeight="1" x14ac:dyDescent="0.25">
      <c r="A58" s="45" t="s">
        <v>209</v>
      </c>
      <c r="B58" s="46">
        <v>518170</v>
      </c>
      <c r="C58" s="47" t="s">
        <v>210</v>
      </c>
      <c r="D58" s="48">
        <v>45000</v>
      </c>
      <c r="E58" s="49" t="s">
        <v>23</v>
      </c>
      <c r="F58" s="48">
        <v>75000</v>
      </c>
      <c r="G58" s="50">
        <v>24</v>
      </c>
      <c r="H58" s="22">
        <f t="shared" si="0"/>
        <v>30000</v>
      </c>
    </row>
    <row r="59" spans="1:8" ht="14.25" customHeight="1" x14ac:dyDescent="0.25">
      <c r="A59" s="36"/>
      <c r="B59" s="37"/>
      <c r="C59" s="36"/>
      <c r="D59" s="38"/>
      <c r="E59" s="39"/>
      <c r="F59" s="38"/>
      <c r="G59" s="40"/>
    </row>
    <row r="60" spans="1:8" ht="14.25" customHeight="1" x14ac:dyDescent="0.25">
      <c r="A60" s="26" t="s">
        <v>203</v>
      </c>
      <c r="B60" s="27">
        <v>985454</v>
      </c>
      <c r="C60" s="26" t="s">
        <v>153</v>
      </c>
      <c r="D60" s="28">
        <v>52000</v>
      </c>
      <c r="E60" s="29" t="s">
        <v>26</v>
      </c>
      <c r="F60" s="28">
        <v>85000</v>
      </c>
      <c r="G60" s="30">
        <v>25</v>
      </c>
      <c r="H60" s="22">
        <f t="shared" si="0"/>
        <v>33000</v>
      </c>
    </row>
    <row r="61" spans="1:8" ht="14.25" customHeight="1" x14ac:dyDescent="0.25">
      <c r="A61" s="26" t="s">
        <v>204</v>
      </c>
      <c r="B61" s="27">
        <v>985455</v>
      </c>
      <c r="C61" s="9" t="s">
        <v>154</v>
      </c>
      <c r="D61" s="20">
        <v>52000</v>
      </c>
      <c r="E61" s="12" t="s">
        <v>26</v>
      </c>
      <c r="F61" s="20">
        <v>85000</v>
      </c>
      <c r="G61" s="13">
        <v>17</v>
      </c>
      <c r="H61" s="22">
        <f t="shared" si="0"/>
        <v>33000</v>
      </c>
    </row>
    <row r="62" spans="1:8" ht="14.25" customHeight="1" x14ac:dyDescent="0.25">
      <c r="A62" s="26" t="s">
        <v>205</v>
      </c>
      <c r="B62" s="27">
        <v>985456</v>
      </c>
      <c r="C62" s="9" t="s">
        <v>155</v>
      </c>
      <c r="D62" s="20">
        <v>20000</v>
      </c>
      <c r="E62" s="12" t="s">
        <v>157</v>
      </c>
      <c r="F62" s="20">
        <v>35000</v>
      </c>
      <c r="G62" s="13">
        <v>21</v>
      </c>
      <c r="H62" s="22">
        <f t="shared" si="0"/>
        <v>15000</v>
      </c>
    </row>
    <row r="63" spans="1:8" ht="14.25" customHeight="1" x14ac:dyDescent="0.25">
      <c r="A63" s="26" t="s">
        <v>206</v>
      </c>
      <c r="B63" s="27">
        <v>985457</v>
      </c>
      <c r="C63" s="9" t="s">
        <v>156</v>
      </c>
      <c r="D63" s="20">
        <v>12500</v>
      </c>
      <c r="E63" s="12" t="s">
        <v>158</v>
      </c>
      <c r="F63" s="20">
        <v>65000</v>
      </c>
      <c r="G63" s="13">
        <v>4</v>
      </c>
      <c r="H63" s="22">
        <f t="shared" si="0"/>
        <v>52500</v>
      </c>
    </row>
    <row r="64" spans="1:8" ht="14.25" customHeight="1" x14ac:dyDescent="0.25">
      <c r="A64" s="26" t="s">
        <v>207</v>
      </c>
      <c r="B64" s="27">
        <v>985458</v>
      </c>
      <c r="C64" s="9" t="s">
        <v>159</v>
      </c>
      <c r="D64" s="23"/>
      <c r="E64" s="24"/>
      <c r="F64" s="23"/>
      <c r="G64" s="25"/>
    </row>
    <row r="65" spans="1:7" ht="14.25" customHeight="1" x14ac:dyDescent="0.25">
      <c r="A65" s="9"/>
      <c r="B65" s="8"/>
      <c r="C65" s="9"/>
      <c r="D65" s="20"/>
      <c r="E65" s="12"/>
      <c r="F65" s="20"/>
      <c r="G65" s="13"/>
    </row>
    <row r="66" spans="1:7" ht="14.25" customHeight="1" x14ac:dyDescent="0.25">
      <c r="A66" s="9"/>
      <c r="B66" s="8"/>
      <c r="C66" s="9"/>
      <c r="D66" s="20"/>
      <c r="E66" s="12"/>
      <c r="F66" s="20"/>
      <c r="G66" s="13"/>
    </row>
    <row r="67" spans="1:7" ht="14.25" customHeight="1" x14ac:dyDescent="0.25"/>
    <row r="68" spans="1:7" ht="14.25" customHeight="1" x14ac:dyDescent="0.25"/>
    <row r="69" spans="1:7" ht="14.25" customHeight="1" x14ac:dyDescent="0.25"/>
    <row r="70" spans="1:7" ht="14.25" customHeight="1" x14ac:dyDescent="0.25"/>
    <row r="71" spans="1:7" ht="14.25" customHeight="1" x14ac:dyDescent="0.25"/>
    <row r="72" spans="1:7" ht="14.25" customHeight="1" x14ac:dyDescent="0.25"/>
    <row r="73" spans="1:7" ht="14.25" customHeight="1" x14ac:dyDescent="0.25"/>
    <row r="74" spans="1:7" ht="14.25" customHeight="1" x14ac:dyDescent="0.25"/>
    <row r="75" spans="1:7" ht="14.25" customHeight="1" x14ac:dyDescent="0.25"/>
    <row r="76" spans="1:7" ht="14.25" customHeight="1" x14ac:dyDescent="0.25"/>
    <row r="77" spans="1:7" ht="14.25" customHeight="1" x14ac:dyDescent="0.25"/>
    <row r="78" spans="1:7" ht="14.25" customHeight="1" x14ac:dyDescent="0.25"/>
    <row r="79" spans="1:7" ht="14.25" customHeight="1" x14ac:dyDescent="0.25"/>
    <row r="80" spans="1:7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</sheetData>
  <mergeCells count="1">
    <mergeCell ref="B1:E1"/>
  </mergeCells>
  <phoneticPr fontId="4" type="noConversion"/>
  <conditionalFormatting sqref="A1 A2:B1048576">
    <cfRule type="duplicateValues" dxfId="3" priority="1"/>
  </conditionalFormatting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9"/>
  <sheetViews>
    <sheetView workbookViewId="0">
      <pane ySplit="3" topLeftCell="A4" activePane="bottomLeft" state="frozen"/>
      <selection pane="bottomLeft" activeCell="C28" sqref="C28"/>
    </sheetView>
  </sheetViews>
  <sheetFormatPr defaultColWidth="14.42578125" defaultRowHeight="15" customHeight="1" x14ac:dyDescent="0.25"/>
  <cols>
    <col min="1" max="1" width="11.5703125" customWidth="1"/>
    <col min="2" max="2" width="16.5703125" customWidth="1"/>
    <col min="3" max="3" width="38.140625" customWidth="1"/>
    <col min="4" max="4" width="17.42578125" style="22" customWidth="1"/>
    <col min="5" max="5" width="14.7109375" customWidth="1"/>
    <col min="6" max="6" width="15.7109375" style="22" customWidth="1"/>
    <col min="7" max="7" width="9.7109375" style="14" bestFit="1" customWidth="1"/>
    <col min="8" max="8" width="13.85546875" style="22" customWidth="1"/>
    <col min="9" max="9" width="8.7109375" style="22" customWidth="1"/>
    <col min="10" max="27" width="8.7109375" customWidth="1"/>
  </cols>
  <sheetData>
    <row r="1" spans="1:11" ht="14.25" customHeight="1" x14ac:dyDescent="0.25">
      <c r="B1" s="1"/>
      <c r="C1" s="11" t="s">
        <v>7</v>
      </c>
      <c r="D1" s="18"/>
      <c r="E1" s="2"/>
      <c r="F1" s="18"/>
    </row>
    <row r="2" spans="1:11" ht="14.25" customHeight="1" x14ac:dyDescent="0.25">
      <c r="B2" s="1"/>
      <c r="D2" s="18"/>
      <c r="E2" s="2"/>
      <c r="F2" s="18"/>
      <c r="K2" s="3"/>
    </row>
    <row r="3" spans="1:11" ht="19.5" customHeight="1" x14ac:dyDescent="0.25">
      <c r="A3" s="4" t="s">
        <v>0</v>
      </c>
      <c r="B3" s="5" t="s">
        <v>1</v>
      </c>
      <c r="C3" s="10" t="s">
        <v>2</v>
      </c>
      <c r="D3" s="19" t="s">
        <v>3</v>
      </c>
      <c r="E3" s="6" t="s">
        <v>4</v>
      </c>
      <c r="F3" s="19" t="s">
        <v>5</v>
      </c>
      <c r="G3" s="4" t="s">
        <v>6</v>
      </c>
      <c r="K3" s="7"/>
    </row>
    <row r="4" spans="1:11" ht="14.25" customHeight="1" x14ac:dyDescent="0.25">
      <c r="A4" s="9" t="s">
        <v>66</v>
      </c>
      <c r="B4" s="8">
        <v>5412237</v>
      </c>
      <c r="C4" s="9" t="s">
        <v>70</v>
      </c>
      <c r="D4" s="20">
        <v>52000</v>
      </c>
      <c r="E4" s="12" t="s">
        <v>26</v>
      </c>
      <c r="F4" s="20">
        <v>85000</v>
      </c>
      <c r="G4" s="13">
        <v>18</v>
      </c>
      <c r="H4" s="22">
        <f>F4-D4</f>
        <v>33000</v>
      </c>
    </row>
    <row r="5" spans="1:11" ht="14.25" customHeight="1" x14ac:dyDescent="0.25">
      <c r="A5" s="9" t="s">
        <v>67</v>
      </c>
      <c r="B5" s="8">
        <v>5412238</v>
      </c>
      <c r="C5" s="9" t="s">
        <v>71</v>
      </c>
      <c r="D5" s="20">
        <v>35000</v>
      </c>
      <c r="E5" s="12" t="s">
        <v>20</v>
      </c>
      <c r="F5" s="20">
        <v>65000</v>
      </c>
      <c r="G5" s="13">
        <v>63</v>
      </c>
      <c r="H5" s="22">
        <f t="shared" ref="H5:H6" si="0">F5-D5</f>
        <v>30000</v>
      </c>
    </row>
    <row r="6" spans="1:11" ht="14.25" customHeight="1" x14ac:dyDescent="0.25">
      <c r="A6" s="9" t="s">
        <v>69</v>
      </c>
      <c r="B6" s="8">
        <v>5412239</v>
      </c>
      <c r="C6" s="9" t="s">
        <v>68</v>
      </c>
      <c r="D6" s="20">
        <v>29000</v>
      </c>
      <c r="E6" s="12" t="s">
        <v>49</v>
      </c>
      <c r="F6" s="20">
        <v>65000</v>
      </c>
      <c r="G6" s="13">
        <v>36</v>
      </c>
      <c r="H6" s="22">
        <f t="shared" si="0"/>
        <v>36000</v>
      </c>
    </row>
    <row r="7" spans="1:11" ht="14.25" customHeight="1" x14ac:dyDescent="0.25">
      <c r="A7" s="9"/>
      <c r="B7" s="8"/>
      <c r="C7" s="9"/>
      <c r="D7" s="20"/>
      <c r="E7" s="12"/>
      <c r="F7" s="20"/>
      <c r="G7" s="13"/>
    </row>
    <row r="8" spans="1:11" ht="14.25" customHeight="1" x14ac:dyDescent="0.25">
      <c r="A8" s="9"/>
      <c r="B8" s="8"/>
      <c r="C8" s="9"/>
      <c r="D8" s="20"/>
      <c r="E8" s="12"/>
      <c r="F8" s="20"/>
      <c r="G8" s="13"/>
    </row>
    <row r="9" spans="1:11" ht="14.25" customHeight="1" x14ac:dyDescent="0.25"/>
    <row r="10" spans="1:11" ht="14.25" customHeight="1" x14ac:dyDescent="0.25"/>
    <row r="11" spans="1:11" ht="14.25" customHeight="1" x14ac:dyDescent="0.25"/>
    <row r="12" spans="1:11" ht="14.25" customHeight="1" x14ac:dyDescent="0.25"/>
    <row r="13" spans="1:11" ht="14.25" customHeight="1" x14ac:dyDescent="0.25"/>
    <row r="14" spans="1:11" ht="14.25" customHeight="1" x14ac:dyDescent="0.25"/>
    <row r="15" spans="1:11" ht="14.25" customHeight="1" x14ac:dyDescent="0.25"/>
    <row r="16" spans="1:1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phoneticPr fontId="4" type="noConversion"/>
  <conditionalFormatting sqref="A1:B3 A7:B1048576 A4:A6">
    <cfRule type="duplicateValues" dxfId="2" priority="2"/>
  </conditionalFormatting>
  <conditionalFormatting sqref="B4:B6">
    <cfRule type="duplicateValues" dxfId="1" priority="1"/>
  </conditionalFormatting>
  <pageMargins left="0.7" right="0.7" top="0.75" bottom="0.75" header="0" footer="0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80ED-5C3D-4067-9BCA-AAFB5C99084C}">
  <dimension ref="A1:J993"/>
  <sheetViews>
    <sheetView workbookViewId="0">
      <pane ySplit="3" topLeftCell="A4" activePane="bottomLeft" state="frozen"/>
      <selection pane="bottomLeft" activeCell="F15" sqref="F15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35.5703125" customWidth="1"/>
    <col min="4" max="4" width="16.42578125" style="22" customWidth="1"/>
    <col min="5" max="5" width="14.42578125" customWidth="1"/>
    <col min="6" max="6" width="16" style="22" customWidth="1"/>
    <col min="7" max="7" width="9.140625" style="14" customWidth="1"/>
    <col min="8" max="8" width="15" style="22" customWidth="1"/>
    <col min="9" max="26" width="8.7109375" customWidth="1"/>
  </cols>
  <sheetData>
    <row r="1" spans="1:10" ht="14.25" customHeight="1" x14ac:dyDescent="0.25">
      <c r="B1" s="1"/>
      <c r="C1" s="11" t="s">
        <v>7</v>
      </c>
      <c r="D1" s="18"/>
      <c r="E1" s="2"/>
      <c r="F1" s="18"/>
    </row>
    <row r="2" spans="1:10" ht="14.25" customHeight="1" x14ac:dyDescent="0.25">
      <c r="B2" s="1"/>
      <c r="D2" s="18"/>
      <c r="E2" s="2"/>
      <c r="F2" s="18"/>
      <c r="J2" s="3"/>
    </row>
    <row r="3" spans="1:10" ht="19.5" customHeight="1" x14ac:dyDescent="0.25">
      <c r="A3" s="4" t="s">
        <v>0</v>
      </c>
      <c r="B3" s="5" t="s">
        <v>1</v>
      </c>
      <c r="C3" s="10" t="s">
        <v>2</v>
      </c>
      <c r="D3" s="19" t="s">
        <v>3</v>
      </c>
      <c r="E3" s="6" t="s">
        <v>89</v>
      </c>
      <c r="F3" s="19" t="s">
        <v>5</v>
      </c>
      <c r="G3" s="4" t="s">
        <v>6</v>
      </c>
      <c r="J3" s="7"/>
    </row>
    <row r="4" spans="1:10" ht="14.25" customHeight="1" x14ac:dyDescent="0.25">
      <c r="A4" s="9" t="s">
        <v>27</v>
      </c>
      <c r="B4" s="8">
        <v>2712524</v>
      </c>
      <c r="C4" s="9" t="s">
        <v>25</v>
      </c>
      <c r="D4" s="20">
        <v>52000</v>
      </c>
      <c r="E4" s="12" t="s">
        <v>26</v>
      </c>
      <c r="F4" s="20">
        <v>85000</v>
      </c>
      <c r="G4" s="13">
        <v>24</v>
      </c>
      <c r="H4" s="22">
        <f>F4-D4</f>
        <v>33000</v>
      </c>
    </row>
    <row r="5" spans="1:10" ht="14.25" customHeight="1" x14ac:dyDescent="0.25">
      <c r="A5" s="9" t="s">
        <v>28</v>
      </c>
      <c r="B5" s="8">
        <v>2712525</v>
      </c>
      <c r="C5" s="9" t="s">
        <v>72</v>
      </c>
      <c r="D5" s="20">
        <v>42000</v>
      </c>
      <c r="E5" s="12" t="s">
        <v>47</v>
      </c>
      <c r="F5" s="20">
        <v>85000</v>
      </c>
      <c r="G5" s="13">
        <v>80</v>
      </c>
      <c r="H5" s="22">
        <f t="shared" ref="H5:H29" si="0">F5-D5</f>
        <v>43000</v>
      </c>
    </row>
    <row r="6" spans="1:10" ht="14.25" customHeight="1" x14ac:dyDescent="0.25">
      <c r="A6" s="9" t="s">
        <v>29</v>
      </c>
      <c r="B6" s="8">
        <v>2712526</v>
      </c>
      <c r="C6" s="9" t="s">
        <v>21</v>
      </c>
      <c r="D6" s="20">
        <v>46000</v>
      </c>
      <c r="E6" s="12" t="s">
        <v>24</v>
      </c>
      <c r="F6" s="20">
        <v>75000</v>
      </c>
      <c r="G6" s="13">
        <v>16</v>
      </c>
      <c r="H6" s="22">
        <f t="shared" si="0"/>
        <v>29000</v>
      </c>
    </row>
    <row r="7" spans="1:10" ht="14.25" customHeight="1" x14ac:dyDescent="0.25">
      <c r="A7" s="9" t="s">
        <v>30</v>
      </c>
      <c r="B7" s="8">
        <v>2712527</v>
      </c>
      <c r="C7" s="9" t="s">
        <v>22</v>
      </c>
      <c r="D7" s="20">
        <v>45000</v>
      </c>
      <c r="E7" s="12" t="s">
        <v>23</v>
      </c>
      <c r="F7" s="20">
        <v>75000</v>
      </c>
      <c r="G7" s="13">
        <v>12</v>
      </c>
      <c r="H7" s="22">
        <f t="shared" si="0"/>
        <v>30000</v>
      </c>
    </row>
    <row r="8" spans="1:10" ht="14.25" customHeight="1" x14ac:dyDescent="0.25">
      <c r="A8" s="9" t="s">
        <v>31</v>
      </c>
      <c r="B8" s="8">
        <v>2712528</v>
      </c>
      <c r="C8" s="9" t="s">
        <v>19</v>
      </c>
      <c r="D8" s="20">
        <v>35000</v>
      </c>
      <c r="E8" s="12" t="s">
        <v>20</v>
      </c>
      <c r="F8" s="20">
        <v>65000</v>
      </c>
      <c r="G8" s="13">
        <v>28</v>
      </c>
      <c r="H8" s="22">
        <f t="shared" si="0"/>
        <v>30000</v>
      </c>
    </row>
    <row r="9" spans="1:10" ht="14.25" customHeight="1" x14ac:dyDescent="0.25">
      <c r="A9" s="9" t="s">
        <v>32</v>
      </c>
      <c r="B9" s="8">
        <v>2712529</v>
      </c>
      <c r="C9" s="9" t="s">
        <v>18</v>
      </c>
      <c r="D9" s="20">
        <v>35000</v>
      </c>
      <c r="E9" s="12" t="s">
        <v>20</v>
      </c>
      <c r="F9" s="20">
        <v>65000</v>
      </c>
      <c r="G9" s="13">
        <v>42</v>
      </c>
      <c r="H9" s="22">
        <f t="shared" si="0"/>
        <v>30000</v>
      </c>
    </row>
    <row r="10" spans="1:10" ht="14.25" customHeight="1" x14ac:dyDescent="0.25">
      <c r="A10" s="9" t="s">
        <v>33</v>
      </c>
      <c r="B10" s="8">
        <v>2712530</v>
      </c>
      <c r="C10" s="9" t="s">
        <v>48</v>
      </c>
      <c r="D10" s="20">
        <v>14000</v>
      </c>
      <c r="E10" s="12" t="s">
        <v>16</v>
      </c>
      <c r="F10" s="20">
        <v>28000</v>
      </c>
      <c r="G10" s="13">
        <v>46</v>
      </c>
      <c r="H10" s="22">
        <f t="shared" si="0"/>
        <v>14000</v>
      </c>
    </row>
    <row r="11" spans="1:10" ht="14.25" customHeight="1" x14ac:dyDescent="0.25">
      <c r="A11" s="9" t="s">
        <v>34</v>
      </c>
      <c r="B11" s="8">
        <v>2712531</v>
      </c>
      <c r="C11" s="9" t="s">
        <v>50</v>
      </c>
      <c r="D11" s="20">
        <v>13100</v>
      </c>
      <c r="E11" s="12" t="s">
        <v>15</v>
      </c>
      <c r="F11" s="20">
        <v>28000</v>
      </c>
      <c r="G11" s="13">
        <v>18</v>
      </c>
      <c r="H11" s="22">
        <f t="shared" si="0"/>
        <v>14900</v>
      </c>
    </row>
    <row r="12" spans="1:10" ht="14.25" customHeight="1" x14ac:dyDescent="0.25">
      <c r="A12" s="9" t="s">
        <v>35</v>
      </c>
      <c r="B12" s="8">
        <v>2712532</v>
      </c>
      <c r="C12" s="9" t="s">
        <v>51</v>
      </c>
      <c r="D12" s="20">
        <v>9750</v>
      </c>
      <c r="E12" s="12" t="s">
        <v>14</v>
      </c>
      <c r="F12" s="20">
        <v>25000</v>
      </c>
      <c r="G12" s="13">
        <v>10</v>
      </c>
      <c r="H12" s="22">
        <f t="shared" si="0"/>
        <v>15250</v>
      </c>
    </row>
    <row r="13" spans="1:10" ht="14.25" customHeight="1" x14ac:dyDescent="0.25">
      <c r="A13" s="9" t="s">
        <v>36</v>
      </c>
      <c r="B13" s="8">
        <v>2712533</v>
      </c>
      <c r="C13" s="9" t="s">
        <v>52</v>
      </c>
      <c r="D13" s="20">
        <v>9200</v>
      </c>
      <c r="E13" s="12" t="s">
        <v>13</v>
      </c>
      <c r="F13" s="20">
        <v>25000</v>
      </c>
      <c r="G13" s="13">
        <v>47</v>
      </c>
      <c r="H13" s="22">
        <f t="shared" si="0"/>
        <v>15800</v>
      </c>
    </row>
    <row r="14" spans="1:10" ht="14.25" customHeight="1" x14ac:dyDescent="0.25">
      <c r="A14" s="9" t="s">
        <v>37</v>
      </c>
      <c r="B14" s="8">
        <v>2712534</v>
      </c>
      <c r="C14" s="9" t="s">
        <v>53</v>
      </c>
      <c r="D14" s="20">
        <v>9000</v>
      </c>
      <c r="E14" s="12" t="s">
        <v>12</v>
      </c>
      <c r="F14" s="20">
        <v>25000</v>
      </c>
      <c r="G14" s="13">
        <v>1</v>
      </c>
      <c r="H14" s="22">
        <f t="shared" si="0"/>
        <v>16000</v>
      </c>
    </row>
    <row r="15" spans="1:10" ht="14.25" customHeight="1" x14ac:dyDescent="0.25">
      <c r="A15" s="9" t="s">
        <v>38</v>
      </c>
      <c r="B15" s="8">
        <v>2712535</v>
      </c>
      <c r="C15" s="9" t="s">
        <v>54</v>
      </c>
      <c r="D15" s="20">
        <v>7500</v>
      </c>
      <c r="E15" s="12" t="s">
        <v>57</v>
      </c>
      <c r="F15" s="20">
        <v>20000</v>
      </c>
      <c r="G15" s="13">
        <v>14</v>
      </c>
      <c r="H15" s="22">
        <f t="shared" si="0"/>
        <v>12500</v>
      </c>
    </row>
    <row r="16" spans="1:10" ht="14.25" customHeight="1" x14ac:dyDescent="0.25">
      <c r="A16" s="9" t="s">
        <v>39</v>
      </c>
      <c r="B16" s="8">
        <v>2712536</v>
      </c>
      <c r="C16" s="9" t="s">
        <v>55</v>
      </c>
      <c r="D16" s="20">
        <v>8500</v>
      </c>
      <c r="E16" s="12" t="s">
        <v>11</v>
      </c>
      <c r="F16" s="20">
        <v>15000</v>
      </c>
      <c r="G16" s="13">
        <v>6</v>
      </c>
      <c r="H16" s="22">
        <f t="shared" si="0"/>
        <v>6500</v>
      </c>
    </row>
    <row r="17" spans="1:8" ht="14.25" customHeight="1" x14ac:dyDescent="0.25">
      <c r="A17" s="9" t="s">
        <v>40</v>
      </c>
      <c r="B17" s="8">
        <v>2712537</v>
      </c>
      <c r="C17" s="9" t="s">
        <v>56</v>
      </c>
      <c r="D17" s="20">
        <v>7000</v>
      </c>
      <c r="E17" s="12" t="s">
        <v>10</v>
      </c>
      <c r="F17" s="20">
        <v>15000</v>
      </c>
      <c r="G17" s="13">
        <v>46</v>
      </c>
      <c r="H17" s="22">
        <f t="shared" si="0"/>
        <v>8000</v>
      </c>
    </row>
    <row r="18" spans="1:8" ht="14.25" customHeight="1" x14ac:dyDescent="0.25">
      <c r="A18" s="9" t="s">
        <v>41</v>
      </c>
      <c r="B18" s="8">
        <v>2712538</v>
      </c>
      <c r="C18" s="9" t="s">
        <v>58</v>
      </c>
      <c r="D18" s="20">
        <v>6600</v>
      </c>
      <c r="E18" s="12" t="s">
        <v>9</v>
      </c>
      <c r="F18" s="20">
        <v>15000</v>
      </c>
      <c r="G18" s="13">
        <v>42</v>
      </c>
      <c r="H18" s="22">
        <f t="shared" si="0"/>
        <v>8400</v>
      </c>
    </row>
    <row r="19" spans="1:8" ht="14.25" customHeight="1" x14ac:dyDescent="0.25">
      <c r="A19" s="9" t="s">
        <v>42</v>
      </c>
      <c r="B19" s="8">
        <v>2712539</v>
      </c>
      <c r="C19" s="9" t="s">
        <v>59</v>
      </c>
      <c r="D19" s="20">
        <v>6500</v>
      </c>
      <c r="E19" s="12" t="s">
        <v>8</v>
      </c>
      <c r="F19" s="20">
        <v>15000</v>
      </c>
      <c r="G19" s="13">
        <v>149</v>
      </c>
      <c r="H19" s="22">
        <f t="shared" si="0"/>
        <v>8500</v>
      </c>
    </row>
    <row r="20" spans="1:8" ht="14.25" customHeight="1" x14ac:dyDescent="0.25">
      <c r="A20" s="9" t="s">
        <v>44</v>
      </c>
      <c r="B20" s="8">
        <v>2712541</v>
      </c>
      <c r="C20" s="9" t="s">
        <v>61</v>
      </c>
      <c r="D20" s="20">
        <v>7370</v>
      </c>
      <c r="E20" s="12" t="s">
        <v>64</v>
      </c>
      <c r="F20" s="20">
        <v>15000</v>
      </c>
      <c r="G20" s="13">
        <v>36</v>
      </c>
      <c r="H20" s="22">
        <f t="shared" si="0"/>
        <v>7630</v>
      </c>
    </row>
    <row r="21" spans="1:8" ht="14.25" customHeight="1" x14ac:dyDescent="0.25">
      <c r="A21" s="9" t="s">
        <v>45</v>
      </c>
      <c r="B21" s="8">
        <v>2712542</v>
      </c>
      <c r="C21" s="9" t="s">
        <v>62</v>
      </c>
      <c r="D21" s="20">
        <v>6500</v>
      </c>
      <c r="E21" s="12" t="s">
        <v>17</v>
      </c>
      <c r="F21" s="20">
        <v>15000</v>
      </c>
      <c r="G21" s="13">
        <v>31</v>
      </c>
      <c r="H21" s="22">
        <f t="shared" si="0"/>
        <v>8500</v>
      </c>
    </row>
    <row r="22" spans="1:8" ht="14.25" customHeight="1" x14ac:dyDescent="0.25">
      <c r="A22" s="9" t="s">
        <v>46</v>
      </c>
      <c r="B22" s="8">
        <v>2712543</v>
      </c>
      <c r="C22" s="9" t="s">
        <v>63</v>
      </c>
      <c r="D22" s="20">
        <v>8000</v>
      </c>
      <c r="E22" s="12" t="s">
        <v>65</v>
      </c>
      <c r="F22" s="20">
        <v>20000</v>
      </c>
      <c r="G22" s="13">
        <v>94</v>
      </c>
      <c r="H22" s="22">
        <f t="shared" si="0"/>
        <v>12000</v>
      </c>
    </row>
    <row r="23" spans="1:8" ht="14.25" customHeight="1" x14ac:dyDescent="0.25">
      <c r="A23" s="9" t="s">
        <v>43</v>
      </c>
      <c r="B23" s="8">
        <v>2712540</v>
      </c>
      <c r="C23" s="9" t="s">
        <v>60</v>
      </c>
      <c r="D23" s="20"/>
      <c r="E23" s="12"/>
      <c r="F23" s="20"/>
      <c r="G23" s="13">
        <v>154</v>
      </c>
      <c r="H23" s="22">
        <f t="shared" si="0"/>
        <v>0</v>
      </c>
    </row>
    <row r="24" spans="1:8" ht="14.25" customHeight="1" x14ac:dyDescent="0.25">
      <c r="A24" s="9" t="s">
        <v>75</v>
      </c>
      <c r="B24" s="8">
        <v>271240</v>
      </c>
      <c r="C24" s="9" t="s">
        <v>73</v>
      </c>
      <c r="D24" s="20">
        <v>770</v>
      </c>
      <c r="E24" s="12" t="s">
        <v>74</v>
      </c>
      <c r="F24" s="20">
        <v>3000</v>
      </c>
      <c r="G24" s="13">
        <v>120</v>
      </c>
      <c r="H24" s="22">
        <f t="shared" si="0"/>
        <v>2230</v>
      </c>
    </row>
    <row r="25" spans="1:8" ht="14.25" customHeight="1" x14ac:dyDescent="0.25">
      <c r="A25" s="9" t="s">
        <v>81</v>
      </c>
      <c r="B25" s="8">
        <v>271241</v>
      </c>
      <c r="C25" s="15" t="s">
        <v>76</v>
      </c>
      <c r="D25" s="21">
        <v>6500</v>
      </c>
      <c r="E25" s="16" t="s">
        <v>79</v>
      </c>
      <c r="F25" s="21">
        <v>15000</v>
      </c>
      <c r="G25" s="17">
        <v>8</v>
      </c>
      <c r="H25" s="22">
        <f t="shared" si="0"/>
        <v>8500</v>
      </c>
    </row>
    <row r="26" spans="1:8" ht="14.25" customHeight="1" x14ac:dyDescent="0.25">
      <c r="A26" s="9" t="s">
        <v>82</v>
      </c>
      <c r="B26" s="8">
        <v>271242</v>
      </c>
      <c r="C26" s="15" t="s">
        <v>77</v>
      </c>
      <c r="D26" s="21">
        <v>6500</v>
      </c>
      <c r="E26" s="16" t="s">
        <v>79</v>
      </c>
      <c r="F26" s="21">
        <v>15000</v>
      </c>
      <c r="G26" s="17">
        <v>9</v>
      </c>
      <c r="H26" s="22">
        <f t="shared" si="0"/>
        <v>8500</v>
      </c>
    </row>
    <row r="27" spans="1:8" ht="14.25" customHeight="1" x14ac:dyDescent="0.25">
      <c r="A27" s="9" t="s">
        <v>83</v>
      </c>
      <c r="B27" s="8">
        <v>271243</v>
      </c>
      <c r="C27" s="15" t="s">
        <v>78</v>
      </c>
      <c r="D27" s="21">
        <v>6250</v>
      </c>
      <c r="E27" s="16" t="s">
        <v>80</v>
      </c>
      <c r="F27" s="21">
        <v>15000</v>
      </c>
      <c r="G27" s="17">
        <v>2</v>
      </c>
      <c r="H27" s="22">
        <f t="shared" si="0"/>
        <v>8750</v>
      </c>
    </row>
    <row r="28" spans="1:8" ht="14.25" customHeight="1" x14ac:dyDescent="0.25">
      <c r="A28" s="9" t="s">
        <v>87</v>
      </c>
      <c r="B28" s="8">
        <v>271244</v>
      </c>
      <c r="C28" s="9" t="s">
        <v>85</v>
      </c>
      <c r="D28" s="20">
        <v>7000</v>
      </c>
      <c r="E28" s="12" t="s">
        <v>86</v>
      </c>
      <c r="F28" s="20">
        <v>15000</v>
      </c>
      <c r="G28" s="13">
        <v>20</v>
      </c>
      <c r="H28" s="22">
        <f t="shared" si="0"/>
        <v>8000</v>
      </c>
    </row>
    <row r="29" spans="1:8" ht="14.25" customHeight="1" x14ac:dyDescent="0.25">
      <c r="A29" s="9" t="s">
        <v>88</v>
      </c>
      <c r="B29" s="8">
        <v>271245</v>
      </c>
      <c r="C29" s="9" t="s">
        <v>84</v>
      </c>
      <c r="D29" s="20">
        <v>7000</v>
      </c>
      <c r="E29" s="12" t="s">
        <v>86</v>
      </c>
      <c r="F29" s="20">
        <v>15000</v>
      </c>
      <c r="G29" s="13">
        <v>13</v>
      </c>
      <c r="H29" s="22">
        <f t="shared" si="0"/>
        <v>8000</v>
      </c>
    </row>
    <row r="30" spans="1:8" ht="14.25" customHeight="1" x14ac:dyDescent="0.25">
      <c r="A30" s="9"/>
      <c r="B30" s="8"/>
      <c r="C30" s="9"/>
      <c r="D30" s="20"/>
      <c r="E30" s="12"/>
      <c r="F30" s="20"/>
      <c r="G30" s="13"/>
    </row>
    <row r="31" spans="1:8" ht="14.25" customHeight="1" x14ac:dyDescent="0.25">
      <c r="A31" s="9"/>
      <c r="B31" s="8"/>
      <c r="C31" s="9"/>
      <c r="D31" s="20"/>
      <c r="E31" s="12"/>
      <c r="F31" s="20"/>
      <c r="G31" s="13"/>
    </row>
    <row r="32" spans="1:8" ht="14.25" customHeight="1" x14ac:dyDescent="0.25">
      <c r="A32" s="9"/>
      <c r="B32" s="8"/>
      <c r="C32" s="9"/>
      <c r="D32" s="20"/>
      <c r="E32" s="12"/>
      <c r="F32" s="20"/>
      <c r="G32" s="13"/>
    </row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</vt:lpstr>
      <vt:lpstr>Bar.</vt:lpstr>
      <vt:lpstr>Engsel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2025-09-12T06:09:43Z</dcterms:created>
  <dcterms:modified xsi:type="dcterms:W3CDTF">2026-05-18T06:02:55Z</dcterms:modified>
</cp:coreProperties>
</file>