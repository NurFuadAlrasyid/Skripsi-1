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66CF3F21-1A81-413E-9C20-58DE727CA9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ver" sheetId="6" r:id="rId1"/>
    <sheet name="Baru" sheetId="5" r:id="rId2"/>
    <sheet name="Grendel" sheetId="3" r:id="rId3"/>
    <sheet name="Bar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18" i="6" l="1"/>
  <c r="H17" i="6"/>
  <c r="H16" i="6"/>
  <c r="H15" i="6"/>
  <c r="H14" i="6"/>
  <c r="H13" i="6"/>
  <c r="H12" i="6"/>
  <c r="H11" i="6"/>
  <c r="H4" i="6"/>
  <c r="H5" i="6"/>
  <c r="H6" i="6"/>
  <c r="H7" i="6"/>
  <c r="H8" i="6"/>
  <c r="H10" i="6"/>
  <c r="H9" i="6"/>
  <c r="H10" i="5"/>
  <c r="H9" i="5"/>
  <c r="H5" i="5"/>
  <c r="H6" i="5"/>
  <c r="H7" i="5"/>
  <c r="H8" i="5"/>
  <c r="H4" i="5"/>
  <c r="H4" i="4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" authorId="0" shapeId="0" xr:uid="{2025D717-FEF2-40C8-A558-E0ABF14D568E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" authorId="0" shapeId="0" xr:uid="{77D5512C-FC84-4500-840A-E8B58BB8729B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" authorId="0" shapeId="0" xr:uid="{8949D318-A63A-4576-805C-93575C0D6A72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DEA53C33-BA51-4DCE-91B4-4717DDD251CE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sharedStrings.xml><?xml version="1.0" encoding="utf-8"?>
<sst xmlns="http://schemas.openxmlformats.org/spreadsheetml/2006/main" count="280" uniqueCount="245">
  <si>
    <t>Kode Item</t>
  </si>
  <si>
    <t>Barcode</t>
  </si>
  <si>
    <t>Nama Item</t>
  </si>
  <si>
    <t>Harga Pokok</t>
  </si>
  <si>
    <t>Kode Harga</t>
  </si>
  <si>
    <t>Harga Jual</t>
  </si>
  <si>
    <t>Stok Awal</t>
  </si>
  <si>
    <t>GRENDEL</t>
  </si>
  <si>
    <t>Grendel Brabus Aluminium 4"</t>
  </si>
  <si>
    <t>Grendel Brabus Aluminium 3"</t>
  </si>
  <si>
    <t>Grendel Brabus Aluminium 2"</t>
  </si>
  <si>
    <t>QZ-SSB</t>
  </si>
  <si>
    <t>XZ-SSB</t>
  </si>
  <si>
    <t>VZ-SSB</t>
  </si>
  <si>
    <t>Grendel Victory Aluminium 4"</t>
  </si>
  <si>
    <t>Grendel Victory Aluminium 3"</t>
  </si>
  <si>
    <t>Grendel Victory Aluminium 2"</t>
  </si>
  <si>
    <t>QZU-SBA</t>
  </si>
  <si>
    <t>YZ-SBA</t>
  </si>
  <si>
    <t>XWU-SBA</t>
  </si>
  <si>
    <t>Grendel Stanco Kupu-Kupu H 2"</t>
  </si>
  <si>
    <t>Grendel Stanco Kupu-Kupu Antik H 2"</t>
  </si>
  <si>
    <t>SSWU-DL</t>
  </si>
  <si>
    <t>TXU-TW</t>
  </si>
  <si>
    <t>Grendel HPP Aluminium 4"</t>
  </si>
  <si>
    <t>Grendel HPP Aluminium 3"</t>
  </si>
  <si>
    <t>UU-AMP</t>
  </si>
  <si>
    <t>TV-AMP</t>
  </si>
  <si>
    <t>Grendel HSS Aluminium 2"</t>
  </si>
  <si>
    <t>VZ-SMK</t>
  </si>
  <si>
    <t>Grendel Rush Aluminium 2"</t>
  </si>
  <si>
    <t>UU-UT</t>
  </si>
  <si>
    <t>Grendel King Stone Abu 10"</t>
  </si>
  <si>
    <t>Grendel King Stone Abu 8"</t>
  </si>
  <si>
    <t>Grendel King Stone Abu 6"</t>
  </si>
  <si>
    <t>Grendel King Stone Abu 5"</t>
  </si>
  <si>
    <t>Grendel King Stone Abu 4"</t>
  </si>
  <si>
    <t>Grendel King Stone Abu 3"</t>
  </si>
  <si>
    <t>Grendel King Stone Abu 2"</t>
  </si>
  <si>
    <t>QTR-TW</t>
  </si>
  <si>
    <t>QR-TW</t>
  </si>
  <si>
    <t>QQU-TW</t>
  </si>
  <si>
    <t>VRU-TW</t>
  </si>
  <si>
    <t>VUU-TW</t>
  </si>
  <si>
    <t>TX-TW</t>
  </si>
  <si>
    <t>GRDNL11</t>
  </si>
  <si>
    <t>GRDNL15</t>
  </si>
  <si>
    <t>GRDNL23</t>
  </si>
  <si>
    <t>GRDNL17</t>
  </si>
  <si>
    <t>GRDNL25</t>
  </si>
  <si>
    <t>GRDNL12</t>
  </si>
  <si>
    <t>GRDNL13</t>
  </si>
  <si>
    <t>GRDNL14</t>
  </si>
  <si>
    <t>GRDNL16</t>
  </si>
  <si>
    <t>GRDNL18</t>
  </si>
  <si>
    <t>GRDNL19</t>
  </si>
  <si>
    <t>GRDNL20</t>
  </si>
  <si>
    <t>GRDNL21</t>
  </si>
  <si>
    <t>GRDNL22</t>
  </si>
  <si>
    <t>GRDNL24</t>
  </si>
  <si>
    <t>GRDNL26</t>
  </si>
  <si>
    <t>GRDNL27</t>
  </si>
  <si>
    <t>GRDNL28</t>
  </si>
  <si>
    <t>GRDNL29</t>
  </si>
  <si>
    <t>GRDNL30</t>
  </si>
  <si>
    <t>GRDNL31</t>
  </si>
  <si>
    <t>GRDNL32</t>
  </si>
  <si>
    <t>GRDNL33</t>
  </si>
  <si>
    <t>GRDNL34</t>
  </si>
  <si>
    <t>GRDNL35</t>
  </si>
  <si>
    <t>Grendel Rush 2"</t>
  </si>
  <si>
    <t>TZ-DL</t>
  </si>
  <si>
    <t>Grendel HSJ 2"</t>
  </si>
  <si>
    <t>TZ-SMK</t>
  </si>
  <si>
    <t>Grendel Vintage 3"</t>
  </si>
  <si>
    <t>QY-SBA</t>
  </si>
  <si>
    <t>Grendel Vintage 2"</t>
  </si>
  <si>
    <t>RZX-SBA</t>
  </si>
  <si>
    <t>Grendel Arcel 4"</t>
  </si>
  <si>
    <t>YU-DL</t>
  </si>
  <si>
    <t>Grendel Vintage 4"</t>
  </si>
  <si>
    <t>RVU-SBA</t>
  </si>
  <si>
    <t>Grendel Kingstone 3"</t>
  </si>
  <si>
    <t>Grendel Kingstone 4"</t>
  </si>
  <si>
    <t>Grendel Rush 4"</t>
  </si>
  <si>
    <t>Grendel Vintage 6"</t>
  </si>
  <si>
    <t>Grendel Arcel 8"</t>
  </si>
  <si>
    <t>Grendel Vintage 8"</t>
  </si>
  <si>
    <t>Grendel Vintage 10"</t>
  </si>
  <si>
    <t>GRDNL36</t>
  </si>
  <si>
    <t>GRDNL37</t>
  </si>
  <si>
    <t>GRDNL38</t>
  </si>
  <si>
    <t>GRDNL39</t>
  </si>
  <si>
    <t>GRDNL40</t>
  </si>
  <si>
    <t>GRDNL41</t>
  </si>
  <si>
    <t>GRDNL42</t>
  </si>
  <si>
    <t>TZ-TW</t>
  </si>
  <si>
    <t>UT-TW</t>
  </si>
  <si>
    <t>YQ-UT</t>
  </si>
  <si>
    <t>SSU-SBA</t>
  </si>
  <si>
    <t>RQ-DL</t>
  </si>
  <si>
    <t>TT-SBA</t>
  </si>
  <si>
    <t>UTU-SBA</t>
  </si>
  <si>
    <t>GRDNL43</t>
  </si>
  <si>
    <t>GRDNL44</t>
  </si>
  <si>
    <t>GRDNL45</t>
  </si>
  <si>
    <t>GRDNL46</t>
  </si>
  <si>
    <t>GRDNL47</t>
  </si>
  <si>
    <t>GRDNL48</t>
  </si>
  <si>
    <t>Grendel Vintage 24"</t>
  </si>
  <si>
    <t>QRX-SBA</t>
  </si>
  <si>
    <t>Grendel Vintage 18"</t>
  </si>
  <si>
    <t>Grendel Vintage 12"</t>
  </si>
  <si>
    <t>GrendelNorgen 12"</t>
  </si>
  <si>
    <t>Grendel East 12" Gold</t>
  </si>
  <si>
    <t>Grendel East 12" Silver</t>
  </si>
  <si>
    <t>QQTU-SBA</t>
  </si>
  <si>
    <t>WXX-SBA</t>
  </si>
  <si>
    <t>UZ-JT</t>
  </si>
  <si>
    <t>RQ-JT</t>
  </si>
  <si>
    <t xml:space="preserve">                                                                                                                            </t>
  </si>
  <si>
    <t>GRDNL49</t>
  </si>
  <si>
    <t>Grendel Amani 36"</t>
  </si>
  <si>
    <t>UU-SMK</t>
  </si>
  <si>
    <t>GRENDEL (Barcode</t>
  </si>
  <si>
    <t>Grendel Wilmer WGR-102S 2"</t>
  </si>
  <si>
    <t>RU-SBA</t>
  </si>
  <si>
    <t>Grendl1</t>
  </si>
  <si>
    <t>8991000301025</t>
  </si>
  <si>
    <t>Sudah Upload di Sistem</t>
  </si>
  <si>
    <t>Grendel Per Voxy 2"</t>
  </si>
  <si>
    <t>RRU-SMK</t>
  </si>
  <si>
    <t>GRDNL50</t>
  </si>
  <si>
    <t>Grendel Kupu-Kupu 2"</t>
  </si>
  <si>
    <t>SU-SMK</t>
  </si>
  <si>
    <t>GRDNL51</t>
  </si>
  <si>
    <t>Grendel Kingstone 5"</t>
  </si>
  <si>
    <t>Grendel Hitam 5"</t>
  </si>
  <si>
    <t>Grendel Texas 6"</t>
  </si>
  <si>
    <t>Grendel Kingstone 6"</t>
  </si>
  <si>
    <t>QQU-TW/MR</t>
  </si>
  <si>
    <t>TZ-CT</t>
  </si>
  <si>
    <t>Grendel Overval A 2"</t>
  </si>
  <si>
    <t>Grendel Overval Abu C 2"</t>
  </si>
  <si>
    <t>Grendel Warna Voxy 2"</t>
  </si>
  <si>
    <t>Grendel Warna KZK 2"</t>
  </si>
  <si>
    <t>UW-JM</t>
  </si>
  <si>
    <t>SZ-PRO</t>
  </si>
  <si>
    <t>QRU-DL</t>
  </si>
  <si>
    <t>Grendel D Hitam 2"</t>
  </si>
  <si>
    <t>Grendel Kupu-Kupu KZK 1 ¼"</t>
  </si>
  <si>
    <t>QXR-SMK</t>
  </si>
  <si>
    <t>QU-UT</t>
  </si>
  <si>
    <t>GRDNL52</t>
  </si>
  <si>
    <t>GRDNL53</t>
  </si>
  <si>
    <t>GRDNL54</t>
  </si>
  <si>
    <t>GRDNL55</t>
  </si>
  <si>
    <t>GRDNL58</t>
  </si>
  <si>
    <t>GRDNL59</t>
  </si>
  <si>
    <t>GRDNL60</t>
  </si>
  <si>
    <t>GRDNL61</t>
  </si>
  <si>
    <t>Grendel Hitam 6"</t>
  </si>
  <si>
    <t>VU-UT</t>
  </si>
  <si>
    <t>Grendel Hijau Muda 6"</t>
  </si>
  <si>
    <t>TU-GMJ</t>
  </si>
  <si>
    <t>Grendel Hitam 8"</t>
  </si>
  <si>
    <t>QSZ-CT/SW</t>
  </si>
  <si>
    <t>Grendel Kingstone A 8"</t>
  </si>
  <si>
    <t>QU-TW</t>
  </si>
  <si>
    <t>Grendel Kingstone B 8"</t>
  </si>
  <si>
    <t>Grendel Oliq 8"</t>
  </si>
  <si>
    <t>XU-UT</t>
  </si>
  <si>
    <t>GRDNL62</t>
  </si>
  <si>
    <t>GRDNL63</t>
  </si>
  <si>
    <t>GRDNL64</t>
  </si>
  <si>
    <t>GRDNL65</t>
  </si>
  <si>
    <t>GRDNL66</t>
  </si>
  <si>
    <t>GRDNL67</t>
  </si>
  <si>
    <t>Grendel Overfall Hijau B 2"</t>
  </si>
  <si>
    <t>SQ-DL</t>
  </si>
  <si>
    <t>Grendel Overfall Kingstone 2"</t>
  </si>
  <si>
    <t>Grendel Overfall Kenzin 2"</t>
  </si>
  <si>
    <t>TU-SMK</t>
  </si>
  <si>
    <t>Grendel Overfall Voxy 2"</t>
  </si>
  <si>
    <t>RZ-CW</t>
  </si>
  <si>
    <t>Grendel Overfall Norgen 2"</t>
  </si>
  <si>
    <t>QU-JT</t>
  </si>
  <si>
    <t>Grendel Per 2"</t>
  </si>
  <si>
    <t>RU-TW</t>
  </si>
  <si>
    <t>GRDNL73</t>
  </si>
  <si>
    <t>Grendel Kodok KZK</t>
  </si>
  <si>
    <t>GRDNL74</t>
  </si>
  <si>
    <t>Kode Barang</t>
  </si>
  <si>
    <t>Grendel1</t>
  </si>
  <si>
    <t>Grendel ATS 3"</t>
  </si>
  <si>
    <t>SW-SMK</t>
  </si>
  <si>
    <t>Grendel Pro-Tech 3"</t>
  </si>
  <si>
    <t>VQ-JLT</t>
  </si>
  <si>
    <t>Grendel Vion 4"</t>
  </si>
  <si>
    <t>SX-TW</t>
  </si>
  <si>
    <t>Grendel IGM 2"</t>
  </si>
  <si>
    <t>UT-SBH</t>
  </si>
  <si>
    <t>Grendel Kansa 2"</t>
  </si>
  <si>
    <t>RQV-SMK</t>
  </si>
  <si>
    <t>Grendel Onat 2"</t>
  </si>
  <si>
    <t>RU-BUA</t>
  </si>
  <si>
    <t>Grendel Tower Bolts</t>
  </si>
  <si>
    <t>RZ-TW</t>
  </si>
  <si>
    <t>Grendel2</t>
  </si>
  <si>
    <t>Grendel3</t>
  </si>
  <si>
    <t>Grendel4</t>
  </si>
  <si>
    <t>Grendel5</t>
  </si>
  <si>
    <t>Grendel6</t>
  </si>
  <si>
    <t>Grendel7</t>
  </si>
  <si>
    <t>GRENDEL OVERPAL</t>
  </si>
  <si>
    <t>overpal1</t>
  </si>
  <si>
    <t>overpal2</t>
  </si>
  <si>
    <t>overpal3</t>
  </si>
  <si>
    <t>overpal4</t>
  </si>
  <si>
    <t>overpal5</t>
  </si>
  <si>
    <t>overpal6</t>
  </si>
  <si>
    <t>overpal7</t>
  </si>
  <si>
    <t>Grendel Overpal KZK 4"</t>
  </si>
  <si>
    <t>SV-GMJ</t>
  </si>
  <si>
    <t>Grendel Overpal T 4"</t>
  </si>
  <si>
    <t>SZ-SD</t>
  </si>
  <si>
    <t>Grendel Overpal ATS 4"</t>
  </si>
  <si>
    <t>RW-UT</t>
  </si>
  <si>
    <t>Grendel Overpal Warna Voxy 3"</t>
  </si>
  <si>
    <t>RZ-MJA</t>
  </si>
  <si>
    <t>Grendel Overpal KZK 3"</t>
  </si>
  <si>
    <t>QU-SMK</t>
  </si>
  <si>
    <t>Grendel Overpal ATS 3"</t>
  </si>
  <si>
    <t>RSWU-UT</t>
  </si>
  <si>
    <t>Grendel Overpal Rush 4"</t>
  </si>
  <si>
    <t>Grendel Overpal N KZK 4"</t>
  </si>
  <si>
    <t>QSWU-SMK</t>
  </si>
  <si>
    <t>overpal8</t>
  </si>
  <si>
    <t>overpal9</t>
  </si>
  <si>
    <t>overpal10</t>
  </si>
  <si>
    <t>overpal11</t>
  </si>
  <si>
    <t>overpal12</t>
  </si>
  <si>
    <t>overpal13</t>
  </si>
  <si>
    <t>overpal14</t>
  </si>
  <si>
    <t>overpal15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</si>
</sst>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164" fontId="0" fillId="0" borderId="0" xfId="0" applyNumberFormat="1"/>
    <xf numFmtId="0" fontId="3" fillId="3" borderId="1" xfId="0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35796-9E52-49D9-86C7-FDC4E6023828}">
  <dimension ref="A1:L983"/>
  <sheetViews>
    <sheetView tabSelected="1" workbookViewId="0">
      <pane ySplit="3" topLeftCell="A4" activePane="bottomLeft" state="frozen"/>
      <selection pane="bottomLeft" activeCell="M20" sqref="M20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38" customWidth="1"/>
    <col min="4" max="4" width="16" style="18" customWidth="1"/>
    <col min="5" max="5" width="13.5703125" customWidth="1"/>
    <col min="6" max="6" width="15.28515625" style="18" customWidth="1"/>
    <col min="7" max="7" width="10.28515625" style="14" customWidth="1"/>
    <col min="8" max="8" width="14.42578125" customWidth="1"/>
    <col min="9" max="9" width="8.42578125" customWidth="1"/>
    <col min="10" max="10" width="7.42578125" customWidth="1"/>
    <col min="11" max="11" width="6.85546875" customWidth="1"/>
    <col min="12" max="28" width="8.7109375" customWidth="1"/>
  </cols>
  <sheetData>
    <row r="1" spans="1:12" ht="14.25" customHeight="1" x14ac:dyDescent="0.25">
      <c r="B1" s="1"/>
      <c r="C1" s="11" t="s">
        <v>214</v>
      </c>
      <c r="D1" s="15"/>
      <c r="E1" s="2"/>
      <c r="F1" s="15"/>
      <c r="J1" s="26"/>
      <c r="K1" t="s">
        <v>129</v>
      </c>
    </row>
    <row r="2" spans="1:12" ht="14.25" customHeight="1" x14ac:dyDescent="0.25">
      <c r="B2" s="1"/>
      <c r="D2" s="15"/>
      <c r="E2" s="2"/>
      <c r="F2" s="15"/>
      <c r="L2" s="3"/>
    </row>
    <row r="3" spans="1:12" ht="19.5" customHeight="1" x14ac:dyDescent="0.25">
      <c r="A3" s="4" t="s">
        <v>0</v>
      </c>
      <c r="B3" s="5" t="s">
        <v>1</v>
      </c>
      <c r="C3" s="10" t="s">
        <v>2</v>
      </c>
      <c r="D3" s="16" t="s">
        <v>3</v>
      </c>
      <c r="E3" s="6" t="s">
        <v>192</v>
      </c>
      <c r="F3" s="16" t="s">
        <v>5</v>
      </c>
      <c r="G3" s="4" t="s">
        <v>6</v>
      </c>
      <c r="L3" s="7"/>
    </row>
    <row r="4" spans="1:12" ht="14.25" customHeight="1" x14ac:dyDescent="0.25">
      <c r="A4" s="9" t="s">
        <v>215</v>
      </c>
      <c r="B4" s="8">
        <v>991250</v>
      </c>
      <c r="C4" s="9" t="s">
        <v>178</v>
      </c>
      <c r="D4" s="17">
        <v>3100</v>
      </c>
      <c r="E4" s="12" t="s">
        <v>179</v>
      </c>
      <c r="F4" s="17">
        <v>10000</v>
      </c>
      <c r="G4" s="13">
        <v>14</v>
      </c>
      <c r="H4" s="18">
        <f>F4-D4</f>
        <v>6900</v>
      </c>
    </row>
    <row r="5" spans="1:12" ht="14.25" customHeight="1" x14ac:dyDescent="0.25">
      <c r="A5" s="9" t="s">
        <v>216</v>
      </c>
      <c r="B5" s="8">
        <v>991251</v>
      </c>
      <c r="C5" s="9" t="s">
        <v>180</v>
      </c>
      <c r="D5" s="17">
        <v>5700</v>
      </c>
      <c r="E5" s="12" t="s">
        <v>146</v>
      </c>
      <c r="F5" s="17">
        <v>12000</v>
      </c>
      <c r="G5" s="13">
        <v>6</v>
      </c>
      <c r="H5" s="18">
        <f t="shared" ref="H5:H18" si="0">F5-D5</f>
        <v>6300</v>
      </c>
    </row>
    <row r="6" spans="1:12" ht="14.25" customHeight="1" x14ac:dyDescent="0.25">
      <c r="A6" s="9" t="s">
        <v>217</v>
      </c>
      <c r="B6" s="8">
        <v>991252</v>
      </c>
      <c r="C6" s="9" t="s">
        <v>181</v>
      </c>
      <c r="D6" s="17">
        <v>4500</v>
      </c>
      <c r="E6" s="12" t="s">
        <v>182</v>
      </c>
      <c r="F6" s="17">
        <v>10000</v>
      </c>
      <c r="G6" s="13">
        <v>43</v>
      </c>
      <c r="H6" s="18">
        <f t="shared" si="0"/>
        <v>5500</v>
      </c>
    </row>
    <row r="7" spans="1:12" ht="14.25" customHeight="1" x14ac:dyDescent="0.25">
      <c r="A7" s="9" t="s">
        <v>218</v>
      </c>
      <c r="B7" s="8">
        <v>991253</v>
      </c>
      <c r="C7" s="9" t="s">
        <v>183</v>
      </c>
      <c r="D7" s="17">
        <v>2000</v>
      </c>
      <c r="E7" s="12" t="s">
        <v>184</v>
      </c>
      <c r="F7" s="17">
        <v>5000</v>
      </c>
      <c r="G7" s="13">
        <v>9</v>
      </c>
      <c r="H7" s="18">
        <f t="shared" si="0"/>
        <v>3000</v>
      </c>
    </row>
    <row r="8" spans="1:12" ht="14.25" customHeight="1" x14ac:dyDescent="0.25">
      <c r="A8" s="9" t="s">
        <v>219</v>
      </c>
      <c r="B8" s="8">
        <v>991254</v>
      </c>
      <c r="C8" s="9" t="s">
        <v>185</v>
      </c>
      <c r="D8" s="17">
        <v>1500</v>
      </c>
      <c r="E8" s="12" t="s">
        <v>186</v>
      </c>
      <c r="F8" s="17">
        <v>5000</v>
      </c>
      <c r="G8" s="13">
        <v>33</v>
      </c>
      <c r="H8" s="18">
        <f t="shared" si="0"/>
        <v>3500</v>
      </c>
    </row>
    <row r="9" spans="1:12" ht="14.25" customHeight="1" x14ac:dyDescent="0.25">
      <c r="A9" s="9" t="s">
        <v>220</v>
      </c>
      <c r="B9" s="8">
        <v>991238</v>
      </c>
      <c r="C9" s="9" t="s">
        <v>142</v>
      </c>
      <c r="D9" s="17">
        <v>5700</v>
      </c>
      <c r="E9" s="12" t="s">
        <v>146</v>
      </c>
      <c r="F9" s="17">
        <v>12000</v>
      </c>
      <c r="G9" s="13">
        <v>33</v>
      </c>
      <c r="H9" s="18">
        <f t="shared" si="0"/>
        <v>6300</v>
      </c>
    </row>
    <row r="10" spans="1:12" ht="14.25" customHeight="1" x14ac:dyDescent="0.25">
      <c r="A10" s="9" t="s">
        <v>221</v>
      </c>
      <c r="B10" s="8">
        <v>991239</v>
      </c>
      <c r="C10" s="9" t="s">
        <v>143</v>
      </c>
      <c r="D10" s="17">
        <v>4800</v>
      </c>
      <c r="E10" s="12" t="s">
        <v>44</v>
      </c>
      <c r="F10" s="17">
        <v>10000</v>
      </c>
      <c r="G10" s="13">
        <v>13</v>
      </c>
      <c r="H10" s="18">
        <f t="shared" si="0"/>
        <v>5200</v>
      </c>
    </row>
    <row r="11" spans="1:12" ht="14.25" customHeight="1" x14ac:dyDescent="0.25">
      <c r="A11" s="9" t="s">
        <v>237</v>
      </c>
      <c r="B11" s="8">
        <v>854623</v>
      </c>
      <c r="C11" s="22" t="s">
        <v>222</v>
      </c>
      <c r="D11" s="23">
        <v>3600</v>
      </c>
      <c r="E11" s="24" t="s">
        <v>223</v>
      </c>
      <c r="F11" s="23">
        <v>7000</v>
      </c>
      <c r="G11" s="25">
        <v>24</v>
      </c>
      <c r="H11" s="18">
        <f t="shared" si="0"/>
        <v>3400</v>
      </c>
    </row>
    <row r="12" spans="1:12" ht="14.25" customHeight="1" x14ac:dyDescent="0.25">
      <c r="A12" s="9" t="s">
        <v>238</v>
      </c>
      <c r="B12" s="8">
        <v>854624</v>
      </c>
      <c r="C12" s="22" t="s">
        <v>224</v>
      </c>
      <c r="D12" s="23">
        <v>3000</v>
      </c>
      <c r="E12" s="24" t="s">
        <v>225</v>
      </c>
      <c r="F12" s="23">
        <v>6000</v>
      </c>
      <c r="G12" s="25">
        <v>11</v>
      </c>
      <c r="H12" s="18">
        <f t="shared" si="0"/>
        <v>3000</v>
      </c>
    </row>
    <row r="13" spans="1:12" ht="14.25" customHeight="1" x14ac:dyDescent="0.25">
      <c r="A13" s="9" t="s">
        <v>239</v>
      </c>
      <c r="B13" s="8">
        <v>854625</v>
      </c>
      <c r="C13" s="22" t="s">
        <v>226</v>
      </c>
      <c r="D13" s="23">
        <v>2700</v>
      </c>
      <c r="E13" s="24" t="s">
        <v>227</v>
      </c>
      <c r="F13" s="23">
        <v>7000</v>
      </c>
      <c r="G13" s="25">
        <v>23</v>
      </c>
      <c r="H13" s="18">
        <f t="shared" si="0"/>
        <v>4300</v>
      </c>
    </row>
    <row r="14" spans="1:12" ht="14.25" customHeight="1" x14ac:dyDescent="0.25">
      <c r="A14" s="9" t="s">
        <v>240</v>
      </c>
      <c r="B14" s="8">
        <v>854626</v>
      </c>
      <c r="C14" s="22" t="s">
        <v>228</v>
      </c>
      <c r="D14" s="23">
        <v>2000</v>
      </c>
      <c r="E14" s="24" t="s">
        <v>229</v>
      </c>
      <c r="F14" s="23">
        <v>5000</v>
      </c>
      <c r="G14" s="25">
        <v>73</v>
      </c>
      <c r="H14" s="18">
        <f t="shared" si="0"/>
        <v>3000</v>
      </c>
    </row>
    <row r="15" spans="1:12" ht="14.25" customHeight="1" x14ac:dyDescent="0.25">
      <c r="A15" s="9" t="s">
        <v>241</v>
      </c>
      <c r="B15" s="8">
        <v>854627</v>
      </c>
      <c r="C15" s="22" t="s">
        <v>230</v>
      </c>
      <c r="D15" s="23">
        <v>1500</v>
      </c>
      <c r="E15" s="24" t="s">
        <v>231</v>
      </c>
      <c r="F15" s="23">
        <v>3000</v>
      </c>
      <c r="G15" s="25">
        <v>108</v>
      </c>
      <c r="H15" s="18">
        <f t="shared" si="0"/>
        <v>1500</v>
      </c>
    </row>
    <row r="16" spans="1:12" ht="14.25" customHeight="1" x14ac:dyDescent="0.25">
      <c r="A16" s="9" t="s">
        <v>242</v>
      </c>
      <c r="B16" s="8">
        <v>854628</v>
      </c>
      <c r="C16" s="22" t="s">
        <v>232</v>
      </c>
      <c r="D16" s="23">
        <v>2375</v>
      </c>
      <c r="E16" s="24" t="s">
        <v>233</v>
      </c>
      <c r="F16" s="23">
        <v>6000</v>
      </c>
      <c r="G16" s="25">
        <v>24</v>
      </c>
      <c r="H16" s="18">
        <f t="shared" si="0"/>
        <v>3625</v>
      </c>
    </row>
    <row r="17" spans="1:8" ht="14.25" customHeight="1" x14ac:dyDescent="0.25">
      <c r="A17" s="9" t="s">
        <v>243</v>
      </c>
      <c r="B17" s="8">
        <v>854629</v>
      </c>
      <c r="C17" s="22" t="s">
        <v>234</v>
      </c>
      <c r="D17" s="23">
        <v>2000</v>
      </c>
      <c r="E17" s="24" t="s">
        <v>184</v>
      </c>
      <c r="F17" s="23">
        <v>5000</v>
      </c>
      <c r="G17" s="25">
        <v>56</v>
      </c>
      <c r="H17" s="18">
        <f t="shared" si="0"/>
        <v>3000</v>
      </c>
    </row>
    <row r="18" spans="1:8" ht="14.25" customHeight="1" x14ac:dyDescent="0.25">
      <c r="A18" s="9" t="s">
        <v>244</v>
      </c>
      <c r="B18" s="8">
        <v>854630</v>
      </c>
      <c r="C18" s="22" t="s">
        <v>235</v>
      </c>
      <c r="D18" s="23">
        <v>1375</v>
      </c>
      <c r="E18" s="24" t="s">
        <v>236</v>
      </c>
      <c r="F18" s="23">
        <v>5000</v>
      </c>
      <c r="G18" s="25">
        <v>53</v>
      </c>
      <c r="H18" s="18">
        <f t="shared" si="0"/>
        <v>3625</v>
      </c>
    </row>
    <row r="19" spans="1:8" ht="14.25" customHeight="1" x14ac:dyDescent="0.25">
      <c r="A19" s="9"/>
      <c r="B19" s="8"/>
      <c r="C19" s="9"/>
      <c r="D19" s="17"/>
      <c r="E19" s="12"/>
      <c r="F19" s="17"/>
      <c r="G19" s="13"/>
      <c r="H19" s="18"/>
    </row>
    <row r="20" spans="1:8" ht="14.25" customHeight="1" x14ac:dyDescent="0.25">
      <c r="A20" s="9"/>
      <c r="B20" s="8"/>
      <c r="C20" s="9"/>
      <c r="D20" s="17"/>
      <c r="E20" s="12"/>
      <c r="F20" s="17"/>
      <c r="G20" s="13"/>
      <c r="H20" s="18"/>
    </row>
    <row r="21" spans="1:8" ht="14.25" customHeight="1" x14ac:dyDescent="0.25">
      <c r="A21" s="9"/>
      <c r="B21" s="8"/>
      <c r="C21" s="9"/>
      <c r="D21" s="17"/>
      <c r="E21" s="12"/>
      <c r="F21" s="17"/>
      <c r="G21" s="13"/>
      <c r="H21" s="18"/>
    </row>
    <row r="22" spans="1:8" ht="14.25" customHeight="1" x14ac:dyDescent="0.25">
      <c r="A22" s="9"/>
      <c r="B22" s="8"/>
      <c r="C22" s="9"/>
      <c r="D22" s="17"/>
      <c r="E22" s="12"/>
      <c r="F22" s="17"/>
      <c r="G22" s="13"/>
      <c r="H22" s="18"/>
    </row>
    <row r="23" spans="1:8" ht="14.25" customHeight="1" x14ac:dyDescent="0.25"/>
    <row r="24" spans="1:8" ht="14.25" customHeight="1" x14ac:dyDescent="0.25">
      <c r="D24" s="18" t="s">
        <v>120</v>
      </c>
    </row>
    <row r="25" spans="1:8" ht="14.25" customHeight="1" x14ac:dyDescent="0.25"/>
    <row r="26" spans="1:8" ht="14.25" customHeight="1" x14ac:dyDescent="0.25"/>
    <row r="27" spans="1:8" ht="14.25" customHeight="1" x14ac:dyDescent="0.25"/>
    <row r="28" spans="1:8" ht="14.25" customHeight="1" x14ac:dyDescent="0.25"/>
    <row r="29" spans="1:8" ht="14.25" customHeight="1" x14ac:dyDescent="0.25"/>
    <row r="30" spans="1:8" ht="14.25" customHeight="1" x14ac:dyDescent="0.25"/>
    <row r="31" spans="1:8" ht="14.25" customHeight="1" x14ac:dyDescent="0.25"/>
    <row r="32" spans="1:8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</sheetData>
  <phoneticPr fontId="4" type="noConversion"/>
  <conditionalFormatting sqref="A1:B1048576">
    <cfRule type="duplicateValues" dxfId="3" priority="1"/>
  </conditionalFormatting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B49F-0FAE-41BC-A717-AEC574800293}">
  <dimension ref="A1:L980"/>
  <sheetViews>
    <sheetView workbookViewId="0">
      <pane ySplit="3" topLeftCell="A4" activePane="bottomLeft" state="frozen"/>
      <selection pane="bottomLeft" activeCell="C13" sqref="C13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38" customWidth="1"/>
    <col min="4" max="4" width="16" style="18" customWidth="1"/>
    <col min="5" max="5" width="13.5703125" customWidth="1"/>
    <col min="6" max="6" width="15.28515625" style="18" customWidth="1"/>
    <col min="7" max="7" width="10.28515625" style="14" customWidth="1"/>
    <col min="8" max="8" width="14.42578125" customWidth="1"/>
    <col min="9" max="9" width="8.42578125" customWidth="1"/>
    <col min="10" max="10" width="7.42578125" customWidth="1"/>
    <col min="11" max="11" width="6.85546875" customWidth="1"/>
    <col min="12" max="28" width="8.7109375" customWidth="1"/>
  </cols>
  <sheetData>
    <row r="1" spans="1:12" ht="14.25" customHeight="1" x14ac:dyDescent="0.25">
      <c r="B1" s="1"/>
      <c r="C1" s="11" t="s">
        <v>7</v>
      </c>
      <c r="D1" s="15"/>
      <c r="E1" s="2"/>
      <c r="F1" s="15"/>
      <c r="J1" s="26"/>
      <c r="K1" t="s">
        <v>129</v>
      </c>
    </row>
    <row r="2" spans="1:12" ht="14.25" customHeight="1" x14ac:dyDescent="0.25">
      <c r="B2" s="1"/>
      <c r="D2" s="15"/>
      <c r="E2" s="2"/>
      <c r="F2" s="15"/>
      <c r="L2" s="3"/>
    </row>
    <row r="3" spans="1:12" ht="19.5" customHeight="1" x14ac:dyDescent="0.25">
      <c r="A3" s="4" t="s">
        <v>0</v>
      </c>
      <c r="B3" s="5" t="s">
        <v>1</v>
      </c>
      <c r="C3" s="10" t="s">
        <v>2</v>
      </c>
      <c r="D3" s="16" t="s">
        <v>3</v>
      </c>
      <c r="E3" s="6" t="s">
        <v>192</v>
      </c>
      <c r="F3" s="16" t="s">
        <v>5</v>
      </c>
      <c r="G3" s="4" t="s">
        <v>6</v>
      </c>
      <c r="L3" s="7"/>
    </row>
    <row r="4" spans="1:12" ht="14.25" customHeight="1" x14ac:dyDescent="0.25">
      <c r="A4" s="9" t="s">
        <v>193</v>
      </c>
      <c r="B4" s="8">
        <v>639644</v>
      </c>
      <c r="C4" s="22" t="s">
        <v>194</v>
      </c>
      <c r="D4" s="23">
        <v>3700</v>
      </c>
      <c r="E4" s="24" t="s">
        <v>195</v>
      </c>
      <c r="F4" s="23">
        <v>10000</v>
      </c>
      <c r="G4" s="25">
        <v>36</v>
      </c>
      <c r="H4" s="18">
        <f>F4-D4</f>
        <v>6300</v>
      </c>
    </row>
    <row r="5" spans="1:12" ht="14.25" customHeight="1" x14ac:dyDescent="0.25">
      <c r="A5" s="9" t="s">
        <v>208</v>
      </c>
      <c r="B5" s="8">
        <v>639645</v>
      </c>
      <c r="C5" s="22" t="s">
        <v>196</v>
      </c>
      <c r="D5" s="23">
        <v>6100</v>
      </c>
      <c r="E5" s="24" t="s">
        <v>197</v>
      </c>
      <c r="F5" s="23">
        <v>15000</v>
      </c>
      <c r="G5" s="25">
        <v>27</v>
      </c>
      <c r="H5" s="18">
        <f t="shared" ref="H5:H10" si="0">F5-D5</f>
        <v>8900</v>
      </c>
    </row>
    <row r="6" spans="1:12" ht="14.25" customHeight="1" x14ac:dyDescent="0.25">
      <c r="A6" s="9" t="s">
        <v>209</v>
      </c>
      <c r="B6" s="8">
        <v>639646</v>
      </c>
      <c r="C6" s="22" t="s">
        <v>198</v>
      </c>
      <c r="D6" s="23">
        <v>3800</v>
      </c>
      <c r="E6" s="24" t="s">
        <v>199</v>
      </c>
      <c r="F6" s="23">
        <v>10000</v>
      </c>
      <c r="G6" s="25">
        <v>12</v>
      </c>
      <c r="H6" s="18">
        <f t="shared" si="0"/>
        <v>6200</v>
      </c>
    </row>
    <row r="7" spans="1:12" ht="14.25" customHeight="1" x14ac:dyDescent="0.25">
      <c r="A7" s="9" t="s">
        <v>210</v>
      </c>
      <c r="B7" s="8">
        <v>639647</v>
      </c>
      <c r="C7" s="22" t="s">
        <v>200</v>
      </c>
      <c r="D7" s="23">
        <v>5400</v>
      </c>
      <c r="E7" s="24" t="s">
        <v>201</v>
      </c>
      <c r="F7" s="23">
        <v>10000</v>
      </c>
      <c r="G7" s="25">
        <v>19</v>
      </c>
      <c r="H7" s="18">
        <f t="shared" si="0"/>
        <v>4600</v>
      </c>
    </row>
    <row r="8" spans="1:12" ht="14.25" customHeight="1" x14ac:dyDescent="0.25">
      <c r="A8" s="9" t="s">
        <v>211</v>
      </c>
      <c r="B8" s="8">
        <v>639648</v>
      </c>
      <c r="C8" s="22" t="s">
        <v>202</v>
      </c>
      <c r="D8" s="23">
        <v>2160</v>
      </c>
      <c r="E8" s="24" t="s">
        <v>203</v>
      </c>
      <c r="F8" s="23">
        <v>6000</v>
      </c>
      <c r="G8" s="25">
        <v>19</v>
      </c>
      <c r="H8" s="18">
        <f t="shared" si="0"/>
        <v>3840</v>
      </c>
    </row>
    <row r="9" spans="1:12" ht="14.25" customHeight="1" x14ac:dyDescent="0.25">
      <c r="A9" s="9" t="s">
        <v>212</v>
      </c>
      <c r="B9" s="8">
        <v>639649</v>
      </c>
      <c r="C9" s="22" t="s">
        <v>204</v>
      </c>
      <c r="D9" s="23">
        <v>2500</v>
      </c>
      <c r="E9" s="24" t="s">
        <v>205</v>
      </c>
      <c r="F9" s="23">
        <v>7000</v>
      </c>
      <c r="G9" s="25">
        <v>35</v>
      </c>
      <c r="H9" s="18">
        <f t="shared" si="0"/>
        <v>4500</v>
      </c>
    </row>
    <row r="10" spans="1:12" ht="14.25" customHeight="1" x14ac:dyDescent="0.25">
      <c r="A10" s="9" t="s">
        <v>213</v>
      </c>
      <c r="B10" s="8">
        <v>639650</v>
      </c>
      <c r="C10" s="22" t="s">
        <v>206</v>
      </c>
      <c r="D10" s="23">
        <v>2000</v>
      </c>
      <c r="E10" s="24" t="s">
        <v>207</v>
      </c>
      <c r="F10" s="23">
        <v>8000</v>
      </c>
      <c r="G10" s="25">
        <v>22</v>
      </c>
      <c r="H10" s="18">
        <f t="shared" si="0"/>
        <v>6000</v>
      </c>
    </row>
    <row r="11" spans="1:12" ht="14.25" customHeight="1" x14ac:dyDescent="0.25">
      <c r="A11" s="9"/>
      <c r="B11" s="8"/>
      <c r="C11" s="9"/>
      <c r="D11" s="17"/>
      <c r="E11" s="12"/>
      <c r="F11" s="17"/>
      <c r="G11" s="13"/>
      <c r="H11" s="18"/>
    </row>
    <row r="12" spans="1:12" ht="14.25" customHeight="1" x14ac:dyDescent="0.25">
      <c r="A12" s="9"/>
      <c r="B12" s="8"/>
      <c r="C12" s="9"/>
      <c r="D12" s="17"/>
      <c r="E12" s="12"/>
      <c r="F12" s="17"/>
      <c r="G12" s="13"/>
      <c r="H12" s="18"/>
    </row>
    <row r="13" spans="1:12" ht="14.25" customHeight="1" x14ac:dyDescent="0.25">
      <c r="A13" s="9"/>
      <c r="B13" s="8"/>
      <c r="C13" s="9"/>
      <c r="D13" s="17"/>
      <c r="E13" s="12"/>
      <c r="F13" s="17"/>
      <c r="G13" s="13"/>
      <c r="H13" s="18"/>
    </row>
    <row r="14" spans="1:12" ht="14.25" customHeight="1" x14ac:dyDescent="0.25">
      <c r="A14" s="9"/>
      <c r="B14" s="8"/>
      <c r="C14" s="9"/>
      <c r="D14" s="17"/>
      <c r="E14" s="12"/>
      <c r="F14" s="17"/>
      <c r="G14" s="13"/>
      <c r="H14" s="18"/>
    </row>
    <row r="15" spans="1:12" ht="14.25" customHeight="1" x14ac:dyDescent="0.25">
      <c r="A15" s="9"/>
      <c r="B15" s="8"/>
      <c r="C15" s="9"/>
      <c r="D15" s="17"/>
      <c r="E15" s="12"/>
      <c r="F15" s="17"/>
      <c r="G15" s="13"/>
      <c r="H15" s="18"/>
    </row>
    <row r="16" spans="1:12" ht="14.25" customHeight="1" x14ac:dyDescent="0.25">
      <c r="A16" s="9"/>
      <c r="B16" s="8"/>
      <c r="C16" s="9"/>
      <c r="D16" s="17"/>
      <c r="E16" s="12"/>
      <c r="F16" s="17"/>
      <c r="G16" s="13"/>
      <c r="H16" s="18"/>
    </row>
    <row r="17" spans="1:8" ht="14.25" customHeight="1" x14ac:dyDescent="0.25">
      <c r="A17" s="9"/>
      <c r="B17" s="8"/>
      <c r="C17" s="9"/>
      <c r="D17" s="17"/>
      <c r="E17" s="12"/>
      <c r="F17" s="17"/>
      <c r="G17" s="13"/>
      <c r="H17" s="18"/>
    </row>
    <row r="18" spans="1:8" ht="14.25" customHeight="1" x14ac:dyDescent="0.25">
      <c r="A18" s="9"/>
      <c r="B18" s="8"/>
      <c r="C18" s="9"/>
      <c r="D18" s="17"/>
      <c r="E18" s="12"/>
      <c r="F18" s="17"/>
      <c r="G18" s="13"/>
      <c r="H18" s="18"/>
    </row>
    <row r="19" spans="1:8" ht="14.25" customHeight="1" x14ac:dyDescent="0.25">
      <c r="A19" s="9"/>
      <c r="B19" s="8"/>
      <c r="C19" s="9"/>
      <c r="D19" s="17"/>
      <c r="E19" s="12"/>
      <c r="F19" s="17"/>
      <c r="G19" s="13"/>
      <c r="H19" s="18"/>
    </row>
    <row r="20" spans="1:8" ht="14.25" customHeight="1" x14ac:dyDescent="0.25"/>
    <row r="21" spans="1:8" ht="14.25" customHeight="1" x14ac:dyDescent="0.25">
      <c r="D21" s="18" t="s">
        <v>120</v>
      </c>
    </row>
    <row r="22" spans="1:8" ht="14.25" customHeight="1" x14ac:dyDescent="0.25"/>
    <row r="23" spans="1:8" ht="14.25" customHeight="1" x14ac:dyDescent="0.25"/>
    <row r="24" spans="1:8" ht="14.25" customHeight="1" x14ac:dyDescent="0.25"/>
    <row r="25" spans="1:8" ht="14.25" customHeight="1" x14ac:dyDescent="0.25"/>
    <row r="26" spans="1:8" ht="14.25" customHeight="1" x14ac:dyDescent="0.25"/>
    <row r="27" spans="1:8" ht="14.25" customHeight="1" x14ac:dyDescent="0.25"/>
    <row r="28" spans="1:8" ht="14.25" customHeight="1" x14ac:dyDescent="0.25"/>
    <row r="29" spans="1:8" ht="14.25" customHeight="1" x14ac:dyDescent="0.25"/>
    <row r="30" spans="1:8" ht="14.25" customHeight="1" x14ac:dyDescent="0.25"/>
    <row r="31" spans="1:8" ht="14.25" customHeight="1" x14ac:dyDescent="0.25"/>
    <row r="32" spans="1:8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</sheetData>
  <phoneticPr fontId="4" type="noConversion"/>
  <conditionalFormatting sqref="A1:B1048576">
    <cfRule type="duplicateValues" dxfId="2" priority="1"/>
  </conditionalFormatting>
  <pageMargins left="0.7" right="0.7" top="0.75" bottom="0.75" header="0" footer="0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80ED-5C3D-4067-9BCA-AAFB5C99084C}">
  <dimension ref="A1:L1028"/>
  <sheetViews>
    <sheetView workbookViewId="0">
      <pane ySplit="3" topLeftCell="A4" activePane="bottomLeft" state="frozen"/>
      <selection pane="bottomLeft" activeCell="C64" sqref="C64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38" customWidth="1"/>
    <col min="4" max="4" width="16" style="18" customWidth="1"/>
    <col min="5" max="5" width="13.5703125" customWidth="1"/>
    <col min="6" max="6" width="15.28515625" style="18" customWidth="1"/>
    <col min="7" max="7" width="10.28515625" style="14" customWidth="1"/>
    <col min="8" max="8" width="14.42578125" customWidth="1"/>
    <col min="9" max="9" width="8.42578125" customWidth="1"/>
    <col min="10" max="10" width="7.42578125" customWidth="1"/>
    <col min="11" max="11" width="6.85546875" customWidth="1"/>
    <col min="12" max="28" width="8.7109375" customWidth="1"/>
  </cols>
  <sheetData>
    <row r="1" spans="1:12" ht="14.25" customHeight="1" x14ac:dyDescent="0.25">
      <c r="B1" s="1"/>
      <c r="C1" s="11" t="s">
        <v>7</v>
      </c>
      <c r="D1" s="15"/>
      <c r="E1" s="2"/>
      <c r="F1" s="15"/>
      <c r="J1" s="26"/>
      <c r="K1" t="s">
        <v>129</v>
      </c>
    </row>
    <row r="2" spans="1:12" ht="14.25" customHeight="1" x14ac:dyDescent="0.25">
      <c r="B2" s="1"/>
      <c r="D2" s="15"/>
      <c r="E2" s="2"/>
      <c r="F2" s="15"/>
      <c r="L2" s="3"/>
    </row>
    <row r="3" spans="1:12" ht="19.5" customHeight="1" x14ac:dyDescent="0.25">
      <c r="A3" s="4" t="s">
        <v>0</v>
      </c>
      <c r="B3" s="5" t="s">
        <v>1</v>
      </c>
      <c r="C3" s="10" t="s">
        <v>2</v>
      </c>
      <c r="D3" s="16" t="s">
        <v>3</v>
      </c>
      <c r="E3" s="6" t="s">
        <v>4</v>
      </c>
      <c r="F3" s="16" t="s">
        <v>5</v>
      </c>
      <c r="G3" s="4" t="s">
        <v>6</v>
      </c>
      <c r="L3" s="7"/>
    </row>
    <row r="4" spans="1:12" ht="14.25" customHeight="1" x14ac:dyDescent="0.25">
      <c r="A4" s="9" t="s">
        <v>45</v>
      </c>
      <c r="B4" s="8">
        <v>9912324</v>
      </c>
      <c r="C4" s="22" t="s">
        <v>8</v>
      </c>
      <c r="D4" s="23">
        <v>10000</v>
      </c>
      <c r="E4" s="24" t="s">
        <v>11</v>
      </c>
      <c r="F4" s="23">
        <v>20000</v>
      </c>
      <c r="G4" s="25">
        <v>47</v>
      </c>
      <c r="H4" s="18">
        <f>F4-D4</f>
        <v>10000</v>
      </c>
      <c r="I4" s="18"/>
      <c r="J4" s="18"/>
    </row>
    <row r="5" spans="1:12" ht="14.25" customHeight="1" x14ac:dyDescent="0.25">
      <c r="A5" s="9" t="s">
        <v>50</v>
      </c>
      <c r="B5" s="8">
        <v>9912325</v>
      </c>
      <c r="C5" s="22" t="s">
        <v>9</v>
      </c>
      <c r="D5" s="23">
        <v>8000</v>
      </c>
      <c r="E5" s="24" t="s">
        <v>12</v>
      </c>
      <c r="F5" s="23">
        <v>17000</v>
      </c>
      <c r="G5" s="25">
        <v>110</v>
      </c>
      <c r="H5" s="18">
        <f t="shared" ref="H5:H56" si="0">F5-D5</f>
        <v>9000</v>
      </c>
      <c r="I5" s="18"/>
      <c r="J5" s="18"/>
    </row>
    <row r="6" spans="1:12" ht="14.25" customHeight="1" x14ac:dyDescent="0.25">
      <c r="A6" s="9" t="s">
        <v>51</v>
      </c>
      <c r="B6" s="8">
        <v>9912326</v>
      </c>
      <c r="C6" s="22" t="s">
        <v>10</v>
      </c>
      <c r="D6" s="23">
        <v>6000</v>
      </c>
      <c r="E6" s="24" t="s">
        <v>13</v>
      </c>
      <c r="F6" s="23">
        <v>15000</v>
      </c>
      <c r="G6" s="25">
        <v>42</v>
      </c>
      <c r="H6" s="18">
        <f t="shared" si="0"/>
        <v>9000</v>
      </c>
      <c r="I6" s="18"/>
      <c r="J6" s="18"/>
    </row>
    <row r="7" spans="1:12" ht="14.25" customHeight="1" x14ac:dyDescent="0.25">
      <c r="A7" s="9" t="s">
        <v>52</v>
      </c>
      <c r="B7" s="8">
        <v>9912327</v>
      </c>
      <c r="C7" s="22" t="s">
        <v>14</v>
      </c>
      <c r="D7" s="23">
        <v>10500</v>
      </c>
      <c r="E7" s="24" t="s">
        <v>17</v>
      </c>
      <c r="F7" s="23">
        <v>20000</v>
      </c>
      <c r="G7" s="25">
        <v>48</v>
      </c>
      <c r="H7" s="18">
        <f t="shared" si="0"/>
        <v>9500</v>
      </c>
      <c r="I7" s="18"/>
      <c r="J7" s="18"/>
    </row>
    <row r="8" spans="1:12" ht="14.25" customHeight="1" x14ac:dyDescent="0.25">
      <c r="A8" s="9" t="s">
        <v>46</v>
      </c>
      <c r="B8" s="8">
        <v>9912328</v>
      </c>
      <c r="C8" s="22" t="s">
        <v>15</v>
      </c>
      <c r="D8" s="23">
        <v>9000</v>
      </c>
      <c r="E8" s="24" t="s">
        <v>18</v>
      </c>
      <c r="F8" s="23">
        <v>15000</v>
      </c>
      <c r="G8" s="25">
        <v>36</v>
      </c>
      <c r="H8" s="18">
        <f t="shared" si="0"/>
        <v>6000</v>
      </c>
      <c r="I8" s="18"/>
      <c r="J8" s="18"/>
    </row>
    <row r="9" spans="1:12" ht="14.25" customHeight="1" x14ac:dyDescent="0.25">
      <c r="A9" s="9" t="s">
        <v>53</v>
      </c>
      <c r="B9" s="8">
        <v>9912329</v>
      </c>
      <c r="C9" s="22" t="s">
        <v>16</v>
      </c>
      <c r="D9" s="23">
        <v>8750</v>
      </c>
      <c r="E9" s="24" t="s">
        <v>19</v>
      </c>
      <c r="F9" s="23">
        <v>15000</v>
      </c>
      <c r="G9" s="25">
        <v>37</v>
      </c>
      <c r="H9" s="18">
        <f t="shared" si="0"/>
        <v>6250</v>
      </c>
      <c r="I9" s="18"/>
      <c r="J9" s="18"/>
    </row>
    <row r="10" spans="1:12" ht="14.25" customHeight="1" x14ac:dyDescent="0.25">
      <c r="A10" s="9" t="s">
        <v>48</v>
      </c>
      <c r="B10" s="8">
        <v>9912330</v>
      </c>
      <c r="C10" s="22" t="s">
        <v>20</v>
      </c>
      <c r="D10" s="23">
        <v>3375</v>
      </c>
      <c r="E10" s="24" t="s">
        <v>22</v>
      </c>
      <c r="F10" s="23">
        <v>10000</v>
      </c>
      <c r="G10" s="25">
        <v>94</v>
      </c>
      <c r="H10" s="18">
        <f t="shared" si="0"/>
        <v>6625</v>
      </c>
      <c r="I10" s="18"/>
      <c r="J10" s="18"/>
    </row>
    <row r="11" spans="1:12" ht="14.25" customHeight="1" x14ac:dyDescent="0.25">
      <c r="A11" s="9" t="s">
        <v>54</v>
      </c>
      <c r="B11" s="8">
        <v>9912331</v>
      </c>
      <c r="C11" s="22" t="s">
        <v>21</v>
      </c>
      <c r="D11" s="23">
        <v>4850</v>
      </c>
      <c r="E11" s="24" t="s">
        <v>23</v>
      </c>
      <c r="F11" s="23">
        <v>15000</v>
      </c>
      <c r="G11" s="25">
        <v>48</v>
      </c>
      <c r="H11" s="18">
        <f t="shared" si="0"/>
        <v>10150</v>
      </c>
      <c r="I11" s="18"/>
      <c r="J11" s="18"/>
    </row>
    <row r="12" spans="1:12" ht="14.25" customHeight="1" x14ac:dyDescent="0.25">
      <c r="A12" s="9" t="s">
        <v>55</v>
      </c>
      <c r="B12" s="8">
        <v>9912332</v>
      </c>
      <c r="C12" s="22" t="s">
        <v>24</v>
      </c>
      <c r="D12" s="23">
        <v>5500</v>
      </c>
      <c r="E12" s="24" t="s">
        <v>26</v>
      </c>
      <c r="F12" s="23">
        <v>12000</v>
      </c>
      <c r="G12" s="25">
        <v>8</v>
      </c>
      <c r="H12" s="18">
        <f t="shared" si="0"/>
        <v>6500</v>
      </c>
      <c r="I12" s="18"/>
      <c r="J12" s="18"/>
    </row>
    <row r="13" spans="1:12" ht="14.25" customHeight="1" x14ac:dyDescent="0.25">
      <c r="A13" s="9" t="s">
        <v>56</v>
      </c>
      <c r="B13" s="8">
        <v>9912333</v>
      </c>
      <c r="C13" s="22" t="s">
        <v>25</v>
      </c>
      <c r="D13" s="23">
        <v>4600</v>
      </c>
      <c r="E13" s="24" t="s">
        <v>27</v>
      </c>
      <c r="F13" s="23">
        <v>10000</v>
      </c>
      <c r="G13" s="25">
        <v>15</v>
      </c>
      <c r="H13" s="18">
        <f t="shared" si="0"/>
        <v>5400</v>
      </c>
      <c r="I13" s="18"/>
      <c r="J13" s="18"/>
    </row>
    <row r="14" spans="1:12" ht="14.25" customHeight="1" x14ac:dyDescent="0.25">
      <c r="A14" s="9" t="s">
        <v>57</v>
      </c>
      <c r="B14" s="8">
        <v>9912334</v>
      </c>
      <c r="C14" s="22" t="s">
        <v>28</v>
      </c>
      <c r="D14" s="23">
        <v>6000</v>
      </c>
      <c r="E14" s="24" t="s">
        <v>29</v>
      </c>
      <c r="F14" s="23">
        <v>10000</v>
      </c>
      <c r="G14" s="25">
        <v>40</v>
      </c>
      <c r="H14" s="18">
        <f t="shared" si="0"/>
        <v>4000</v>
      </c>
      <c r="I14" s="18"/>
      <c r="J14" s="18"/>
    </row>
    <row r="15" spans="1:12" ht="14.25" customHeight="1" x14ac:dyDescent="0.25">
      <c r="A15" s="9" t="s">
        <v>58</v>
      </c>
      <c r="B15" s="8">
        <v>9912335</v>
      </c>
      <c r="C15" s="22" t="s">
        <v>30</v>
      </c>
      <c r="D15" s="23">
        <v>5500</v>
      </c>
      <c r="E15" s="24" t="s">
        <v>31</v>
      </c>
      <c r="F15" s="23">
        <v>12000</v>
      </c>
      <c r="G15" s="25">
        <v>23</v>
      </c>
      <c r="H15" s="18">
        <f t="shared" si="0"/>
        <v>6500</v>
      </c>
      <c r="I15" s="18"/>
      <c r="J15" s="18"/>
    </row>
    <row r="16" spans="1:12" ht="14.25" customHeight="1" x14ac:dyDescent="0.25">
      <c r="A16" s="9" t="s">
        <v>47</v>
      </c>
      <c r="B16" s="8">
        <v>9912336</v>
      </c>
      <c r="C16" s="22" t="s">
        <v>32</v>
      </c>
      <c r="D16" s="23">
        <v>14200</v>
      </c>
      <c r="E16" s="24" t="s">
        <v>39</v>
      </c>
      <c r="F16" s="23">
        <v>55000</v>
      </c>
      <c r="G16" s="25">
        <v>55</v>
      </c>
      <c r="H16" s="18">
        <f t="shared" si="0"/>
        <v>40800</v>
      </c>
      <c r="I16" s="18"/>
      <c r="J16" s="18"/>
    </row>
    <row r="17" spans="1:10" ht="14.25" customHeight="1" x14ac:dyDescent="0.25">
      <c r="A17" s="9" t="s">
        <v>59</v>
      </c>
      <c r="B17" s="8">
        <v>9912337</v>
      </c>
      <c r="C17" s="22" t="s">
        <v>33</v>
      </c>
      <c r="D17" s="23">
        <v>12000</v>
      </c>
      <c r="E17" s="24" t="s">
        <v>40</v>
      </c>
      <c r="F17" s="23">
        <v>30000</v>
      </c>
      <c r="G17" s="25">
        <v>59</v>
      </c>
      <c r="H17" s="18">
        <f t="shared" si="0"/>
        <v>18000</v>
      </c>
      <c r="I17" s="18"/>
      <c r="J17" s="18"/>
    </row>
    <row r="18" spans="1:10" ht="14.25" customHeight="1" x14ac:dyDescent="0.25">
      <c r="A18" s="9" t="s">
        <v>49</v>
      </c>
      <c r="B18" s="8">
        <v>9912338</v>
      </c>
      <c r="C18" s="22" t="s">
        <v>34</v>
      </c>
      <c r="D18" s="23">
        <v>12000</v>
      </c>
      <c r="E18" s="24" t="s">
        <v>40</v>
      </c>
      <c r="F18" s="23">
        <v>30000</v>
      </c>
      <c r="G18" s="25">
        <v>11</v>
      </c>
      <c r="H18" s="18">
        <f t="shared" si="0"/>
        <v>18000</v>
      </c>
      <c r="I18" s="18"/>
      <c r="J18" s="18"/>
    </row>
    <row r="19" spans="1:10" ht="14.25" customHeight="1" x14ac:dyDescent="0.25">
      <c r="A19" s="9" t="s">
        <v>60</v>
      </c>
      <c r="B19" s="8">
        <v>9912339</v>
      </c>
      <c r="C19" s="22" t="s">
        <v>35</v>
      </c>
      <c r="D19" s="23">
        <v>11500</v>
      </c>
      <c r="E19" s="24" t="s">
        <v>41</v>
      </c>
      <c r="F19" s="23">
        <v>35000</v>
      </c>
      <c r="G19" s="25">
        <v>49</v>
      </c>
      <c r="H19" s="18">
        <f t="shared" si="0"/>
        <v>23500</v>
      </c>
      <c r="I19" s="18"/>
      <c r="J19" s="18"/>
    </row>
    <row r="20" spans="1:10" ht="14.25" customHeight="1" x14ac:dyDescent="0.25">
      <c r="A20" s="9" t="s">
        <v>61</v>
      </c>
      <c r="B20" s="8">
        <v>9912340</v>
      </c>
      <c r="C20" s="22" t="s">
        <v>36</v>
      </c>
      <c r="D20" s="23">
        <v>6250</v>
      </c>
      <c r="E20" s="24" t="s">
        <v>42</v>
      </c>
      <c r="F20" s="23">
        <v>15000</v>
      </c>
      <c r="G20" s="25">
        <v>48</v>
      </c>
      <c r="H20" s="18">
        <f t="shared" si="0"/>
        <v>8750</v>
      </c>
      <c r="I20" s="18"/>
      <c r="J20" s="18"/>
    </row>
    <row r="21" spans="1:10" ht="14.25" customHeight="1" x14ac:dyDescent="0.25">
      <c r="A21" s="9" t="s">
        <v>62</v>
      </c>
      <c r="B21" s="8">
        <v>9912341</v>
      </c>
      <c r="C21" s="22" t="s">
        <v>37</v>
      </c>
      <c r="D21" s="23">
        <v>6550</v>
      </c>
      <c r="E21" s="24" t="s">
        <v>43</v>
      </c>
      <c r="F21" s="23">
        <v>15000</v>
      </c>
      <c r="G21" s="25">
        <v>17</v>
      </c>
      <c r="H21" s="18">
        <f t="shared" si="0"/>
        <v>8450</v>
      </c>
      <c r="I21" s="18"/>
      <c r="J21" s="18"/>
    </row>
    <row r="22" spans="1:10" ht="14.25" customHeight="1" x14ac:dyDescent="0.25">
      <c r="A22" s="9" t="s">
        <v>63</v>
      </c>
      <c r="B22" s="8">
        <v>9912342</v>
      </c>
      <c r="C22" s="22" t="s">
        <v>38</v>
      </c>
      <c r="D22" s="23">
        <v>4800</v>
      </c>
      <c r="E22" s="24" t="s">
        <v>44</v>
      </c>
      <c r="F22" s="23">
        <v>10000</v>
      </c>
      <c r="G22" s="25">
        <v>25</v>
      </c>
      <c r="H22" s="18">
        <f t="shared" si="0"/>
        <v>5200</v>
      </c>
      <c r="I22" s="18"/>
      <c r="J22" s="18"/>
    </row>
    <row r="23" spans="1:10" ht="14.25" customHeight="1" x14ac:dyDescent="0.25">
      <c r="A23" s="9" t="s">
        <v>64</v>
      </c>
      <c r="B23" s="8">
        <v>9912343</v>
      </c>
      <c r="C23" s="22" t="s">
        <v>70</v>
      </c>
      <c r="D23" s="23">
        <v>4000</v>
      </c>
      <c r="E23" s="24" t="s">
        <v>71</v>
      </c>
      <c r="F23" s="23">
        <v>8000</v>
      </c>
      <c r="G23" s="25">
        <v>24</v>
      </c>
      <c r="H23" s="18">
        <f t="shared" si="0"/>
        <v>4000</v>
      </c>
      <c r="I23" s="18"/>
      <c r="J23" s="18"/>
    </row>
    <row r="24" spans="1:10" ht="14.25" customHeight="1" x14ac:dyDescent="0.25">
      <c r="A24" s="9" t="s">
        <v>65</v>
      </c>
      <c r="B24" s="8">
        <v>9912344</v>
      </c>
      <c r="C24" s="22" t="s">
        <v>72</v>
      </c>
      <c r="D24" s="23">
        <v>4000</v>
      </c>
      <c r="E24" s="24" t="s">
        <v>73</v>
      </c>
      <c r="F24" s="23">
        <v>10000</v>
      </c>
      <c r="G24" s="25">
        <v>32</v>
      </c>
      <c r="H24" s="18">
        <f t="shared" si="0"/>
        <v>6000</v>
      </c>
      <c r="I24" s="18"/>
      <c r="J24" s="18"/>
    </row>
    <row r="25" spans="1:10" ht="14.25" customHeight="1" x14ac:dyDescent="0.25">
      <c r="A25" s="9" t="s">
        <v>66</v>
      </c>
      <c r="B25" s="8">
        <v>9912345</v>
      </c>
      <c r="C25" s="22" t="s">
        <v>74</v>
      </c>
      <c r="D25" s="23">
        <v>20800</v>
      </c>
      <c r="E25" s="24" t="s">
        <v>77</v>
      </c>
      <c r="F25" s="23">
        <v>38000</v>
      </c>
      <c r="G25" s="25">
        <v>43</v>
      </c>
      <c r="H25" s="18">
        <f t="shared" si="0"/>
        <v>17200</v>
      </c>
      <c r="I25" s="18"/>
      <c r="J25" s="18"/>
    </row>
    <row r="26" spans="1:10" ht="14.25" customHeight="1" x14ac:dyDescent="0.25">
      <c r="A26" s="9" t="s">
        <v>67</v>
      </c>
      <c r="B26" s="8">
        <v>9912346</v>
      </c>
      <c r="C26" s="22" t="s">
        <v>76</v>
      </c>
      <c r="D26" s="23">
        <v>19000</v>
      </c>
      <c r="E26" s="24" t="s">
        <v>75</v>
      </c>
      <c r="F26" s="23">
        <v>35000</v>
      </c>
      <c r="G26" s="25">
        <v>113</v>
      </c>
      <c r="H26" s="18">
        <f t="shared" si="0"/>
        <v>16000</v>
      </c>
      <c r="I26" s="18"/>
      <c r="J26" s="18"/>
    </row>
    <row r="27" spans="1:10" ht="14.25" customHeight="1" x14ac:dyDescent="0.25">
      <c r="A27" s="9" t="s">
        <v>68</v>
      </c>
      <c r="B27" s="8">
        <v>9912347</v>
      </c>
      <c r="C27" s="22" t="s">
        <v>78</v>
      </c>
      <c r="D27" s="23">
        <v>9500</v>
      </c>
      <c r="E27" s="24" t="s">
        <v>79</v>
      </c>
      <c r="F27" s="23">
        <v>28000</v>
      </c>
      <c r="G27" s="25">
        <v>18</v>
      </c>
      <c r="H27" s="18">
        <f t="shared" si="0"/>
        <v>18500</v>
      </c>
      <c r="I27" s="18"/>
      <c r="J27" s="18"/>
    </row>
    <row r="28" spans="1:10" ht="14.25" customHeight="1" x14ac:dyDescent="0.25">
      <c r="A28" s="9" t="s">
        <v>69</v>
      </c>
      <c r="B28" s="8">
        <v>9912348</v>
      </c>
      <c r="C28" s="22" t="s">
        <v>80</v>
      </c>
      <c r="D28" s="23">
        <v>26500</v>
      </c>
      <c r="E28" s="24" t="s">
        <v>81</v>
      </c>
      <c r="F28" s="23">
        <v>55000</v>
      </c>
      <c r="G28" s="25">
        <v>54</v>
      </c>
      <c r="H28" s="18">
        <f t="shared" si="0"/>
        <v>28500</v>
      </c>
      <c r="I28" s="18"/>
      <c r="J28" s="18"/>
    </row>
    <row r="29" spans="1:10" ht="14.25" customHeight="1" x14ac:dyDescent="0.25">
      <c r="A29" s="9" t="s">
        <v>89</v>
      </c>
      <c r="B29" s="8">
        <v>9912349</v>
      </c>
      <c r="C29" s="22" t="s">
        <v>82</v>
      </c>
      <c r="D29" s="23">
        <v>4000</v>
      </c>
      <c r="E29" s="24" t="s">
        <v>96</v>
      </c>
      <c r="F29" s="23">
        <v>12000</v>
      </c>
      <c r="G29" s="25">
        <v>33</v>
      </c>
      <c r="H29" s="18">
        <f t="shared" si="0"/>
        <v>8000</v>
      </c>
      <c r="I29" s="18"/>
      <c r="J29" s="18"/>
    </row>
    <row r="30" spans="1:10" ht="14.25" customHeight="1" x14ac:dyDescent="0.25">
      <c r="A30" s="9" t="s">
        <v>90</v>
      </c>
      <c r="B30" s="8">
        <v>9912350</v>
      </c>
      <c r="C30" s="22" t="s">
        <v>83</v>
      </c>
      <c r="D30" s="23">
        <v>5400</v>
      </c>
      <c r="E30" s="24" t="s">
        <v>97</v>
      </c>
      <c r="F30" s="23">
        <v>15000</v>
      </c>
      <c r="G30" s="25">
        <v>7</v>
      </c>
      <c r="H30" s="18">
        <f t="shared" si="0"/>
        <v>9600</v>
      </c>
      <c r="I30" s="18"/>
      <c r="J30" s="18"/>
    </row>
    <row r="31" spans="1:10" ht="14.25" customHeight="1" x14ac:dyDescent="0.25">
      <c r="A31" s="9" t="s">
        <v>91</v>
      </c>
      <c r="B31" s="8">
        <v>9912351</v>
      </c>
      <c r="C31" s="22" t="s">
        <v>84</v>
      </c>
      <c r="D31" s="23">
        <v>9100</v>
      </c>
      <c r="E31" s="24" t="s">
        <v>98</v>
      </c>
      <c r="F31" s="23">
        <v>17000</v>
      </c>
      <c r="G31" s="25">
        <v>11</v>
      </c>
      <c r="H31" s="18">
        <f t="shared" si="0"/>
        <v>7900</v>
      </c>
      <c r="I31" s="18"/>
      <c r="J31" s="18"/>
    </row>
    <row r="32" spans="1:10" ht="14.25" customHeight="1" x14ac:dyDescent="0.25">
      <c r="A32" s="9" t="s">
        <v>92</v>
      </c>
      <c r="B32" s="8">
        <v>9912352</v>
      </c>
      <c r="C32" s="22" t="s">
        <v>85</v>
      </c>
      <c r="D32" s="23">
        <v>33500</v>
      </c>
      <c r="E32" s="24" t="s">
        <v>99</v>
      </c>
      <c r="F32" s="23">
        <v>65000</v>
      </c>
      <c r="G32" s="25">
        <v>60</v>
      </c>
      <c r="H32" s="18">
        <f t="shared" si="0"/>
        <v>31500</v>
      </c>
      <c r="I32" s="18"/>
      <c r="J32" s="18"/>
    </row>
    <row r="33" spans="1:10" ht="14.25" customHeight="1" x14ac:dyDescent="0.25">
      <c r="A33" s="9" t="s">
        <v>93</v>
      </c>
      <c r="B33" s="8">
        <v>9912353</v>
      </c>
      <c r="C33" s="22" t="s">
        <v>86</v>
      </c>
      <c r="D33" s="23">
        <v>21000</v>
      </c>
      <c r="E33" s="24" t="s">
        <v>100</v>
      </c>
      <c r="F33" s="23">
        <v>45000</v>
      </c>
      <c r="G33" s="25">
        <v>8</v>
      </c>
      <c r="H33" s="18">
        <f t="shared" si="0"/>
        <v>24000</v>
      </c>
      <c r="I33" s="18"/>
      <c r="J33" s="18"/>
    </row>
    <row r="34" spans="1:10" ht="14.25" customHeight="1" x14ac:dyDescent="0.25">
      <c r="A34" s="9" t="s">
        <v>94</v>
      </c>
      <c r="B34" s="8">
        <v>9912354</v>
      </c>
      <c r="C34" s="22" t="s">
        <v>87</v>
      </c>
      <c r="D34" s="23">
        <v>44000</v>
      </c>
      <c r="E34" s="24" t="s">
        <v>101</v>
      </c>
      <c r="F34" s="23">
        <v>75000</v>
      </c>
      <c r="G34" s="25">
        <v>24</v>
      </c>
      <c r="H34" s="18">
        <f t="shared" si="0"/>
        <v>31000</v>
      </c>
      <c r="I34" s="18"/>
      <c r="J34" s="18"/>
    </row>
    <row r="35" spans="1:10" ht="14.25" customHeight="1" x14ac:dyDescent="0.25">
      <c r="A35" s="9" t="s">
        <v>95</v>
      </c>
      <c r="B35" s="8">
        <v>9912355</v>
      </c>
      <c r="C35" s="22" t="s">
        <v>88</v>
      </c>
      <c r="D35" s="23">
        <v>54500</v>
      </c>
      <c r="E35" s="24" t="s">
        <v>102</v>
      </c>
      <c r="F35" s="23">
        <v>95000</v>
      </c>
      <c r="G35" s="25">
        <v>32</v>
      </c>
      <c r="H35" s="18">
        <f t="shared" si="0"/>
        <v>40500</v>
      </c>
      <c r="I35" s="18"/>
      <c r="J35" s="18"/>
    </row>
    <row r="36" spans="1:10" ht="14.25" customHeight="1" x14ac:dyDescent="0.25">
      <c r="A36" s="9" t="s">
        <v>103</v>
      </c>
      <c r="B36" s="8">
        <v>9912356</v>
      </c>
      <c r="C36" s="22" t="s">
        <v>109</v>
      </c>
      <c r="D36" s="23">
        <v>128000</v>
      </c>
      <c r="E36" s="24" t="s">
        <v>110</v>
      </c>
      <c r="F36" s="23">
        <v>175000</v>
      </c>
      <c r="G36" s="25">
        <v>22</v>
      </c>
      <c r="H36" s="18">
        <f t="shared" si="0"/>
        <v>47000</v>
      </c>
      <c r="I36" s="18"/>
      <c r="J36" s="18"/>
    </row>
    <row r="37" spans="1:10" ht="14.25" customHeight="1" x14ac:dyDescent="0.25">
      <c r="A37" s="9" t="s">
        <v>104</v>
      </c>
      <c r="B37" s="8">
        <v>9912357</v>
      </c>
      <c r="C37" s="22" t="s">
        <v>111</v>
      </c>
      <c r="D37" s="23">
        <v>114500</v>
      </c>
      <c r="E37" s="24" t="s">
        <v>116</v>
      </c>
      <c r="F37" s="23">
        <v>165000</v>
      </c>
      <c r="G37" s="25">
        <v>26</v>
      </c>
      <c r="H37" s="18">
        <f t="shared" si="0"/>
        <v>50500</v>
      </c>
      <c r="I37" s="18"/>
      <c r="J37" s="18"/>
    </row>
    <row r="38" spans="1:10" ht="14.25" customHeight="1" x14ac:dyDescent="0.25">
      <c r="A38" s="9" t="s">
        <v>105</v>
      </c>
      <c r="B38" s="8">
        <v>9912358</v>
      </c>
      <c r="C38" s="22" t="s">
        <v>112</v>
      </c>
      <c r="D38" s="23">
        <v>78800</v>
      </c>
      <c r="E38" s="24" t="s">
        <v>117</v>
      </c>
      <c r="F38" s="23">
        <v>145000</v>
      </c>
      <c r="G38" s="25">
        <v>41</v>
      </c>
      <c r="H38" s="18">
        <f t="shared" si="0"/>
        <v>66200</v>
      </c>
      <c r="I38" s="18"/>
      <c r="J38" s="18"/>
    </row>
    <row r="39" spans="1:10" ht="14.25" customHeight="1" x14ac:dyDescent="0.25">
      <c r="A39" s="9" t="s">
        <v>106</v>
      </c>
      <c r="B39" s="8">
        <v>9912359</v>
      </c>
      <c r="C39" s="22" t="s">
        <v>113</v>
      </c>
      <c r="D39" s="23">
        <v>50000</v>
      </c>
      <c r="E39" s="24" t="s">
        <v>118</v>
      </c>
      <c r="F39" s="23">
        <v>125000</v>
      </c>
      <c r="G39" s="25">
        <v>17</v>
      </c>
      <c r="H39" s="18">
        <f t="shared" si="0"/>
        <v>75000</v>
      </c>
      <c r="I39" s="18"/>
      <c r="J39" s="18"/>
    </row>
    <row r="40" spans="1:10" ht="14.25" customHeight="1" x14ac:dyDescent="0.25">
      <c r="A40" s="9" t="s">
        <v>107</v>
      </c>
      <c r="B40" s="8">
        <v>9912360</v>
      </c>
      <c r="C40" s="22" t="s">
        <v>115</v>
      </c>
      <c r="D40" s="23">
        <v>21000</v>
      </c>
      <c r="E40" s="24" t="s">
        <v>119</v>
      </c>
      <c r="F40" s="23">
        <v>55000</v>
      </c>
      <c r="G40" s="25">
        <v>51</v>
      </c>
      <c r="H40" s="18">
        <f t="shared" si="0"/>
        <v>34000</v>
      </c>
      <c r="I40" s="18"/>
      <c r="J40" s="18"/>
    </row>
    <row r="41" spans="1:10" ht="14.25" customHeight="1" x14ac:dyDescent="0.25">
      <c r="A41" s="9" t="s">
        <v>108</v>
      </c>
      <c r="B41" s="8">
        <v>9912361</v>
      </c>
      <c r="C41" s="22" t="s">
        <v>114</v>
      </c>
      <c r="D41" s="23">
        <v>21000</v>
      </c>
      <c r="E41" s="24" t="s">
        <v>119</v>
      </c>
      <c r="F41" s="23">
        <v>55000</v>
      </c>
      <c r="G41" s="25">
        <v>13</v>
      </c>
      <c r="H41" s="18">
        <f t="shared" si="0"/>
        <v>34000</v>
      </c>
      <c r="I41" s="18"/>
      <c r="J41" s="18"/>
    </row>
    <row r="42" spans="1:10" ht="14.25" customHeight="1" x14ac:dyDescent="0.25">
      <c r="A42" s="9" t="s">
        <v>121</v>
      </c>
      <c r="B42" s="8">
        <v>9912362</v>
      </c>
      <c r="C42" s="22" t="s">
        <v>122</v>
      </c>
      <c r="D42" s="23">
        <v>55000</v>
      </c>
      <c r="E42" s="24" t="s">
        <v>123</v>
      </c>
      <c r="F42" s="23">
        <v>125000</v>
      </c>
      <c r="G42" s="25">
        <v>6</v>
      </c>
      <c r="H42" s="18">
        <f t="shared" si="0"/>
        <v>70000</v>
      </c>
      <c r="I42" s="18"/>
      <c r="J42" s="18"/>
    </row>
    <row r="43" spans="1:10" ht="14.25" customHeight="1" x14ac:dyDescent="0.25">
      <c r="A43" s="9" t="s">
        <v>132</v>
      </c>
      <c r="B43" s="8">
        <v>991232</v>
      </c>
      <c r="C43" s="22" t="s">
        <v>130</v>
      </c>
      <c r="D43" s="23">
        <v>2250</v>
      </c>
      <c r="E43" s="24" t="s">
        <v>131</v>
      </c>
      <c r="F43" s="23">
        <v>7000</v>
      </c>
      <c r="G43" s="25">
        <v>96</v>
      </c>
      <c r="H43" s="18">
        <f t="shared" si="0"/>
        <v>4750</v>
      </c>
      <c r="I43" s="18"/>
      <c r="J43" s="18"/>
    </row>
    <row r="44" spans="1:10" ht="14.25" customHeight="1" x14ac:dyDescent="0.25">
      <c r="A44" s="9" t="s">
        <v>135</v>
      </c>
      <c r="B44" s="8">
        <v>991233</v>
      </c>
      <c r="C44" s="22" t="s">
        <v>133</v>
      </c>
      <c r="D44" s="23">
        <v>3500</v>
      </c>
      <c r="E44" s="24" t="s">
        <v>134</v>
      </c>
      <c r="F44" s="23">
        <v>8000</v>
      </c>
      <c r="G44" s="25">
        <v>120</v>
      </c>
      <c r="H44" s="18">
        <f t="shared" si="0"/>
        <v>4500</v>
      </c>
      <c r="I44" s="18"/>
      <c r="J44" s="18"/>
    </row>
    <row r="45" spans="1:10" ht="14.25" customHeight="1" x14ac:dyDescent="0.25">
      <c r="A45" s="9" t="s">
        <v>153</v>
      </c>
      <c r="B45" s="8">
        <v>991234</v>
      </c>
      <c r="C45" s="22" t="s">
        <v>137</v>
      </c>
      <c r="D45" s="23">
        <v>5000</v>
      </c>
      <c r="E45" s="24" t="s">
        <v>118</v>
      </c>
      <c r="F45" s="23">
        <v>10000</v>
      </c>
      <c r="G45" s="25">
        <v>33</v>
      </c>
      <c r="H45" s="18">
        <f t="shared" si="0"/>
        <v>5000</v>
      </c>
      <c r="I45" s="18"/>
      <c r="J45" s="18"/>
    </row>
    <row r="46" spans="1:10" ht="14.25" customHeight="1" x14ac:dyDescent="0.25">
      <c r="A46" s="9" t="s">
        <v>154</v>
      </c>
      <c r="B46" s="8">
        <v>991235</v>
      </c>
      <c r="C46" s="22" t="s">
        <v>136</v>
      </c>
      <c r="D46" s="23">
        <v>11500</v>
      </c>
      <c r="E46" s="24" t="s">
        <v>140</v>
      </c>
      <c r="F46" s="23">
        <v>35000</v>
      </c>
      <c r="G46" s="25">
        <v>49</v>
      </c>
      <c r="H46" s="18">
        <f t="shared" si="0"/>
        <v>23500</v>
      </c>
      <c r="I46" s="18"/>
      <c r="J46" s="18"/>
    </row>
    <row r="47" spans="1:10" ht="14.25" customHeight="1" x14ac:dyDescent="0.25">
      <c r="A47" s="9" t="s">
        <v>155</v>
      </c>
      <c r="B47" s="8">
        <v>991236</v>
      </c>
      <c r="C47" s="22" t="s">
        <v>138</v>
      </c>
      <c r="D47" s="23">
        <v>4000</v>
      </c>
      <c r="E47" s="24" t="s">
        <v>141</v>
      </c>
      <c r="F47" s="23">
        <v>10000</v>
      </c>
      <c r="G47" s="25">
        <v>22</v>
      </c>
      <c r="H47" s="18">
        <f t="shared" si="0"/>
        <v>6000</v>
      </c>
      <c r="I47" s="18"/>
      <c r="J47" s="18"/>
    </row>
    <row r="48" spans="1:10" ht="14.25" customHeight="1" x14ac:dyDescent="0.25">
      <c r="A48" s="9" t="s">
        <v>156</v>
      </c>
      <c r="B48" s="8">
        <v>991237</v>
      </c>
      <c r="C48" s="22" t="s">
        <v>139</v>
      </c>
      <c r="D48" s="23">
        <v>12000</v>
      </c>
      <c r="E48" s="24" t="s">
        <v>40</v>
      </c>
      <c r="F48" s="23">
        <v>30000</v>
      </c>
      <c r="G48" s="25">
        <v>11</v>
      </c>
      <c r="H48" s="18">
        <f t="shared" si="0"/>
        <v>18000</v>
      </c>
      <c r="I48" s="18"/>
      <c r="J48" s="18"/>
    </row>
    <row r="49" spans="1:10" ht="14.25" customHeight="1" x14ac:dyDescent="0.25">
      <c r="A49" s="9" t="s">
        <v>157</v>
      </c>
      <c r="B49" s="8">
        <v>991240</v>
      </c>
      <c r="C49" s="22" t="s">
        <v>144</v>
      </c>
      <c r="D49" s="23">
        <v>3000</v>
      </c>
      <c r="E49" s="24" t="s">
        <v>147</v>
      </c>
      <c r="F49" s="23">
        <v>7000</v>
      </c>
      <c r="G49" s="25">
        <v>47</v>
      </c>
      <c r="H49" s="18">
        <f t="shared" si="0"/>
        <v>4000</v>
      </c>
      <c r="I49" s="18"/>
      <c r="J49" s="18"/>
    </row>
    <row r="50" spans="1:10" ht="14.25" customHeight="1" x14ac:dyDescent="0.25">
      <c r="A50" s="9" t="s">
        <v>158</v>
      </c>
      <c r="B50" s="8">
        <v>991241</v>
      </c>
      <c r="C50" s="22" t="s">
        <v>145</v>
      </c>
      <c r="D50" s="23">
        <v>1250</v>
      </c>
      <c r="E50" s="24" t="s">
        <v>148</v>
      </c>
      <c r="F50" s="23">
        <v>5000</v>
      </c>
      <c r="G50" s="25">
        <v>24</v>
      </c>
      <c r="H50" s="18">
        <f t="shared" si="0"/>
        <v>3750</v>
      </c>
    </row>
    <row r="51" spans="1:10" ht="14.25" customHeight="1" x14ac:dyDescent="0.25">
      <c r="A51" s="9" t="s">
        <v>159</v>
      </c>
      <c r="B51" s="8">
        <v>991242</v>
      </c>
      <c r="C51" s="22" t="s">
        <v>149</v>
      </c>
      <c r="D51" s="23">
        <v>1820</v>
      </c>
      <c r="E51" s="24" t="s">
        <v>151</v>
      </c>
      <c r="F51" s="23">
        <v>4000</v>
      </c>
      <c r="G51" s="25">
        <v>27</v>
      </c>
      <c r="H51" s="18">
        <f t="shared" si="0"/>
        <v>2180</v>
      </c>
    </row>
    <row r="52" spans="1:10" ht="14.25" customHeight="1" x14ac:dyDescent="0.25">
      <c r="A52" s="9" t="s">
        <v>160</v>
      </c>
      <c r="B52" s="8">
        <v>991243</v>
      </c>
      <c r="C52" s="22" t="s">
        <v>150</v>
      </c>
      <c r="D52" s="23">
        <v>1500</v>
      </c>
      <c r="E52" s="24" t="s">
        <v>152</v>
      </c>
      <c r="F52" s="23">
        <v>4000</v>
      </c>
      <c r="G52" s="25">
        <v>77</v>
      </c>
      <c r="H52" s="18">
        <f t="shared" si="0"/>
        <v>2500</v>
      </c>
    </row>
    <row r="53" spans="1:10" ht="14.25" customHeight="1" x14ac:dyDescent="0.25">
      <c r="A53" s="9" t="s">
        <v>172</v>
      </c>
      <c r="B53" s="8">
        <v>991244</v>
      </c>
      <c r="C53" s="9" t="s">
        <v>161</v>
      </c>
      <c r="D53" s="17">
        <v>6500</v>
      </c>
      <c r="E53" s="12" t="s">
        <v>162</v>
      </c>
      <c r="F53" s="17">
        <v>15000</v>
      </c>
      <c r="G53" s="13">
        <v>67</v>
      </c>
      <c r="H53" s="18">
        <f t="shared" si="0"/>
        <v>8500</v>
      </c>
    </row>
    <row r="54" spans="1:10" ht="14.25" customHeight="1" x14ac:dyDescent="0.25">
      <c r="A54" s="9" t="s">
        <v>173</v>
      </c>
      <c r="B54" s="8">
        <v>991245</v>
      </c>
      <c r="C54" s="9" t="s">
        <v>163</v>
      </c>
      <c r="D54" s="17">
        <v>4500</v>
      </c>
      <c r="E54" s="12" t="s">
        <v>164</v>
      </c>
      <c r="F54" s="17">
        <v>12000</v>
      </c>
      <c r="G54" s="13">
        <v>7</v>
      </c>
      <c r="H54" s="18">
        <f t="shared" si="0"/>
        <v>7500</v>
      </c>
    </row>
    <row r="55" spans="1:10" ht="14.25" customHeight="1" x14ac:dyDescent="0.25">
      <c r="A55" s="9" t="s">
        <v>174</v>
      </c>
      <c r="B55" s="8">
        <v>991246</v>
      </c>
      <c r="C55" s="9" t="s">
        <v>165</v>
      </c>
      <c r="D55" s="17">
        <v>13000</v>
      </c>
      <c r="E55" s="12" t="s">
        <v>166</v>
      </c>
      <c r="F55" s="17">
        <v>28000</v>
      </c>
      <c r="G55" s="13">
        <v>11</v>
      </c>
      <c r="H55" s="18">
        <f t="shared" si="0"/>
        <v>15000</v>
      </c>
    </row>
    <row r="56" spans="1:10" ht="14.25" customHeight="1" x14ac:dyDescent="0.25">
      <c r="A56" s="9" t="s">
        <v>175</v>
      </c>
      <c r="B56" s="8">
        <v>991247</v>
      </c>
      <c r="C56" s="9" t="s">
        <v>167</v>
      </c>
      <c r="D56" s="17">
        <v>15000</v>
      </c>
      <c r="E56" s="12" t="s">
        <v>168</v>
      </c>
      <c r="F56" s="17">
        <v>38000</v>
      </c>
      <c r="G56" s="13">
        <v>57</v>
      </c>
      <c r="H56" s="18">
        <f t="shared" si="0"/>
        <v>23000</v>
      </c>
    </row>
    <row r="57" spans="1:10" ht="14.25" customHeight="1" x14ac:dyDescent="0.25">
      <c r="A57" s="9" t="s">
        <v>176</v>
      </c>
      <c r="B57" s="8">
        <v>991248</v>
      </c>
      <c r="C57" s="9" t="s">
        <v>169</v>
      </c>
      <c r="D57" s="17">
        <v>15000</v>
      </c>
      <c r="E57" s="12" t="s">
        <v>168</v>
      </c>
      <c r="F57" s="17">
        <v>38000</v>
      </c>
      <c r="G57" s="13">
        <v>52</v>
      </c>
      <c r="H57" s="18"/>
    </row>
    <row r="58" spans="1:10" ht="14.25" customHeight="1" x14ac:dyDescent="0.25">
      <c r="A58" s="9" t="s">
        <v>177</v>
      </c>
      <c r="B58" s="8">
        <v>991249</v>
      </c>
      <c r="C58" s="9" t="s">
        <v>170</v>
      </c>
      <c r="D58" s="17">
        <v>8500</v>
      </c>
      <c r="E58" s="12" t="s">
        <v>171</v>
      </c>
      <c r="F58" s="17">
        <v>18000</v>
      </c>
      <c r="G58" s="13">
        <v>26</v>
      </c>
      <c r="H58" s="18"/>
    </row>
    <row r="59" spans="1:10" ht="14.25" customHeight="1" x14ac:dyDescent="0.25">
      <c r="A59" s="9" t="s">
        <v>189</v>
      </c>
      <c r="B59" s="8">
        <v>991255</v>
      </c>
      <c r="C59" s="9" t="s">
        <v>187</v>
      </c>
      <c r="D59" s="17">
        <v>2500</v>
      </c>
      <c r="E59" s="12" t="s">
        <v>188</v>
      </c>
      <c r="F59" s="17">
        <v>6000</v>
      </c>
      <c r="G59" s="13">
        <v>26</v>
      </c>
      <c r="H59" s="18"/>
    </row>
    <row r="60" spans="1:10" ht="14.25" customHeight="1" x14ac:dyDescent="0.25">
      <c r="A60" s="9" t="s">
        <v>191</v>
      </c>
      <c r="B60" s="8">
        <v>991256</v>
      </c>
      <c r="C60" s="9" t="s">
        <v>190</v>
      </c>
      <c r="D60" s="17">
        <v>9500</v>
      </c>
      <c r="E60" s="12" t="s">
        <v>79</v>
      </c>
      <c r="F60" s="17">
        <v>15000</v>
      </c>
      <c r="G60" s="13">
        <v>28</v>
      </c>
      <c r="H60" s="18"/>
    </row>
    <row r="61" spans="1:10" ht="14.25" customHeight="1" x14ac:dyDescent="0.25">
      <c r="A61" s="9"/>
      <c r="B61" s="8"/>
      <c r="C61" s="9"/>
      <c r="D61" s="17"/>
      <c r="E61" s="12"/>
      <c r="F61" s="17"/>
      <c r="G61" s="13"/>
      <c r="H61" s="18"/>
    </row>
    <row r="62" spans="1:10" ht="14.25" customHeight="1" x14ac:dyDescent="0.25">
      <c r="A62" s="9"/>
      <c r="B62" s="8"/>
      <c r="C62" s="9"/>
      <c r="D62" s="17"/>
      <c r="E62" s="12"/>
      <c r="F62" s="17"/>
      <c r="G62" s="13"/>
      <c r="H62" s="18"/>
    </row>
    <row r="63" spans="1:10" ht="14.25" customHeight="1" x14ac:dyDescent="0.25">
      <c r="A63" s="9"/>
      <c r="B63" s="8"/>
      <c r="C63" s="9"/>
      <c r="D63" s="17"/>
      <c r="E63" s="12"/>
      <c r="F63" s="17"/>
      <c r="G63" s="13"/>
      <c r="H63" s="18"/>
    </row>
    <row r="64" spans="1:10" ht="14.25" customHeight="1" x14ac:dyDescent="0.25">
      <c r="A64" s="9"/>
      <c r="B64" s="8"/>
      <c r="C64" s="9"/>
      <c r="D64" s="17"/>
      <c r="E64" s="12"/>
      <c r="F64" s="17"/>
      <c r="G64" s="13"/>
    </row>
    <row r="65" spans="1:7" ht="14.25" customHeight="1" x14ac:dyDescent="0.25">
      <c r="A65" s="9"/>
      <c r="B65" s="8"/>
      <c r="C65" s="9"/>
      <c r="D65" s="17"/>
      <c r="E65" s="12"/>
      <c r="F65" s="17"/>
      <c r="G65" s="13"/>
    </row>
    <row r="66" spans="1:7" ht="14.25" customHeight="1" x14ac:dyDescent="0.25">
      <c r="A66" s="9"/>
      <c r="B66" s="8"/>
      <c r="C66" s="9"/>
      <c r="D66" s="17"/>
      <c r="E66" s="12"/>
      <c r="F66" s="17"/>
      <c r="G66" s="13"/>
    </row>
    <row r="67" spans="1:7" ht="14.25" customHeight="1" x14ac:dyDescent="0.25">
      <c r="A67" s="9"/>
      <c r="B67" s="8"/>
      <c r="C67" s="9"/>
      <c r="D67" s="17"/>
      <c r="E67" s="12"/>
      <c r="F67" s="17"/>
      <c r="G67" s="13"/>
    </row>
    <row r="68" spans="1:7" ht="14.25" customHeight="1" x14ac:dyDescent="0.25"/>
    <row r="69" spans="1:7" ht="14.25" customHeight="1" x14ac:dyDescent="0.25">
      <c r="D69" s="18" t="s">
        <v>120</v>
      </c>
    </row>
    <row r="70" spans="1:7" ht="14.25" customHeight="1" x14ac:dyDescent="0.25"/>
    <row r="71" spans="1:7" ht="14.25" customHeight="1" x14ac:dyDescent="0.25"/>
    <row r="72" spans="1:7" ht="14.25" customHeight="1" x14ac:dyDescent="0.25"/>
    <row r="73" spans="1:7" ht="14.25" customHeight="1" x14ac:dyDescent="0.25"/>
    <row r="74" spans="1:7" ht="14.25" customHeight="1" x14ac:dyDescent="0.25"/>
    <row r="75" spans="1:7" ht="14.25" customHeight="1" x14ac:dyDescent="0.25"/>
    <row r="76" spans="1:7" ht="14.25" customHeight="1" x14ac:dyDescent="0.25"/>
    <row r="77" spans="1:7" ht="14.25" customHeight="1" x14ac:dyDescent="0.25"/>
    <row r="78" spans="1:7" ht="14.25" customHeight="1" x14ac:dyDescent="0.25"/>
    <row r="79" spans="1:7" ht="14.25" customHeight="1" x14ac:dyDescent="0.25"/>
    <row r="80" spans="1:7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</sheetData>
  <phoneticPr fontId="4" type="noConversion"/>
  <conditionalFormatting sqref="A1:B1048576">
    <cfRule type="duplicateValues" dxfId="1" priority="1"/>
  </conditionalFormatting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08B9-F461-429D-A70B-918216327CD9}">
  <dimension ref="A1:J969"/>
  <sheetViews>
    <sheetView workbookViewId="0">
      <pane ySplit="3" topLeftCell="A4" activePane="bottomLeft" state="frozen"/>
      <selection pane="bottomLeft" activeCell="C31" sqref="C31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35.5703125" customWidth="1"/>
    <col min="4" max="4" width="14.42578125" style="18" customWidth="1"/>
    <col min="5" max="5" width="12.28515625" customWidth="1"/>
    <col min="6" max="6" width="13.5703125" style="18" customWidth="1"/>
    <col min="7" max="7" width="9.140625" style="14" customWidth="1"/>
    <col min="8" max="8" width="14.7109375" customWidth="1"/>
    <col min="9" max="26" width="8.7109375" customWidth="1"/>
  </cols>
  <sheetData>
    <row r="1" spans="1:10" ht="14.25" customHeight="1" x14ac:dyDescent="0.25">
      <c r="B1" s="1"/>
      <c r="C1" s="11" t="s">
        <v>124</v>
      </c>
      <c r="D1" s="15"/>
      <c r="E1" s="2"/>
      <c r="F1" s="15"/>
    </row>
    <row r="2" spans="1:10" ht="14.25" customHeight="1" x14ac:dyDescent="0.25">
      <c r="B2" s="1"/>
      <c r="D2" s="15"/>
      <c r="E2" s="2"/>
      <c r="F2" s="15"/>
      <c r="J2" s="3"/>
    </row>
    <row r="3" spans="1:10" ht="19.5" customHeight="1" x14ac:dyDescent="0.25">
      <c r="A3" s="4" t="s">
        <v>0</v>
      </c>
      <c r="B3" s="19" t="s">
        <v>1</v>
      </c>
      <c r="C3" s="10" t="s">
        <v>2</v>
      </c>
      <c r="D3" s="16" t="s">
        <v>3</v>
      </c>
      <c r="E3" s="6" t="s">
        <v>4</v>
      </c>
      <c r="F3" s="16" t="s">
        <v>5</v>
      </c>
      <c r="G3" s="4" t="s">
        <v>6</v>
      </c>
      <c r="J3" s="7"/>
    </row>
    <row r="4" spans="1:10" ht="14.25" customHeight="1" x14ac:dyDescent="0.25">
      <c r="A4" s="9" t="s">
        <v>127</v>
      </c>
      <c r="B4" s="20" t="s">
        <v>128</v>
      </c>
      <c r="C4" s="9" t="s">
        <v>125</v>
      </c>
      <c r="D4" s="17">
        <v>2500</v>
      </c>
      <c r="E4" s="12" t="s">
        <v>126</v>
      </c>
      <c r="F4" s="17">
        <v>7000</v>
      </c>
      <c r="G4" s="13">
        <v>48</v>
      </c>
      <c r="H4" s="21">
        <f>F4-D4</f>
        <v>4500</v>
      </c>
    </row>
    <row r="5" spans="1:10" ht="14.25" customHeight="1" x14ac:dyDescent="0.25">
      <c r="A5" s="9"/>
      <c r="B5" s="8"/>
      <c r="C5" s="9"/>
      <c r="D5" s="17"/>
      <c r="E5" s="12"/>
      <c r="F5" s="17"/>
      <c r="G5" s="13"/>
    </row>
    <row r="6" spans="1:10" ht="14.25" customHeight="1" x14ac:dyDescent="0.25">
      <c r="A6" s="9"/>
      <c r="B6" s="8"/>
      <c r="C6" s="9"/>
      <c r="D6" s="17"/>
      <c r="E6" s="12"/>
      <c r="F6" s="17"/>
      <c r="G6" s="13"/>
    </row>
    <row r="7" spans="1:10" ht="14.25" customHeight="1" x14ac:dyDescent="0.25">
      <c r="A7" s="9"/>
      <c r="B7" s="8"/>
      <c r="C7" s="9"/>
      <c r="D7" s="17"/>
      <c r="E7" s="12"/>
      <c r="F7" s="17"/>
      <c r="G7" s="13"/>
    </row>
    <row r="8" spans="1:10" ht="14.25" customHeight="1" x14ac:dyDescent="0.25">
      <c r="A8" s="9"/>
      <c r="B8" s="8"/>
      <c r="C8" s="9"/>
      <c r="D8" s="17"/>
      <c r="E8" s="12"/>
      <c r="F8" s="17"/>
      <c r="G8" s="13"/>
    </row>
    <row r="9" spans="1:10" ht="14.25" customHeight="1" x14ac:dyDescent="0.25"/>
    <row r="10" spans="1:10" ht="14.25" customHeight="1" x14ac:dyDescent="0.25">
      <c r="D10" s="18" t="s">
        <v>120</v>
      </c>
    </row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conditionalFormatting sqref="A1:B1048576">
    <cfRule type="duplicateValues" dxfId="0" priority="1"/>
  </conditionalFormatting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</vt:lpstr>
      <vt:lpstr>Baru</vt:lpstr>
      <vt:lpstr>Grendel</vt:lpstr>
      <vt:lpstr>Barc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2025-09-12T06:09:43Z</dcterms:created>
  <dcterms:modified xsi:type="dcterms:W3CDTF">2026-03-12T05:15:04Z</dcterms:modified>
</cp:coreProperties>
</file>