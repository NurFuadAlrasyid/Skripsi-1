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9ACD501B-8B40-47F5-8D85-BA3B7DFB4E30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Baru" sheetId="4" r:id="rId1"/>
    <sheet name="Sheet1" sheetId="1" r:id="rId2"/>
    <sheet name="Bar.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4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52" i="1"/>
  <c r="H3" i="3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DA170EC1-CF93-44EC-B7CF-66033E969BB9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0D3D5302-45B8-4D20-8DF5-684CC819B5F6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<sst xmlns="http://schemas.openxmlformats.org/spreadsheetml/2006/main" count="360" uniqueCount="338">
  <si>
    <t>Kode Item</t>
  </si>
  <si>
    <t>Barcode</t>
  </si>
  <si>
    <t>Nama Item</t>
  </si>
  <si>
    <t>Harga Pokok</t>
  </si>
  <si>
    <t>Kode Harga</t>
  </si>
  <si>
    <t>Harga Jual</t>
  </si>
  <si>
    <t>Stok Awal</t>
  </si>
  <si>
    <t>GEMBOK1</t>
  </si>
  <si>
    <t>GEMBOK2</t>
  </si>
  <si>
    <t>VU-FJ</t>
  </si>
  <si>
    <t>WR-TW</t>
  </si>
  <si>
    <t>XV-TW</t>
  </si>
  <si>
    <t>YR-TW</t>
  </si>
  <si>
    <t>QQR-SMK</t>
  </si>
  <si>
    <t>RR-TW</t>
  </si>
  <si>
    <t>QV-TW</t>
  </si>
  <si>
    <t>ST-TW</t>
  </si>
  <si>
    <t>SUU-JT</t>
  </si>
  <si>
    <t>RU-JT</t>
  </si>
  <si>
    <t>SUZ-JT</t>
  </si>
  <si>
    <t>RV-JT</t>
  </si>
  <si>
    <t>QY-JT</t>
  </si>
  <si>
    <t>SXT-JY</t>
  </si>
  <si>
    <t>WW-JT</t>
  </si>
  <si>
    <t>QQU-JT</t>
  </si>
  <si>
    <t>QYU-JT</t>
  </si>
  <si>
    <t>QT-JT</t>
  </si>
  <si>
    <t>QU-SMK</t>
  </si>
  <si>
    <t>QU-HRW</t>
  </si>
  <si>
    <t>QZ-SMK</t>
  </si>
  <si>
    <t>RT-SMK</t>
  </si>
  <si>
    <t>RX-SMK</t>
  </si>
  <si>
    <t>RRV-SMK</t>
  </si>
  <si>
    <t>SYR-FJ</t>
  </si>
  <si>
    <t>SRW-FJ</t>
  </si>
  <si>
    <t>QZW-PJ</t>
  </si>
  <si>
    <t>WU-PJ</t>
  </si>
  <si>
    <t>RWU-GMP</t>
  </si>
  <si>
    <t>QU-DL</t>
  </si>
  <si>
    <t>RR-GMP</t>
  </si>
  <si>
    <t>QXRU-DL</t>
  </si>
  <si>
    <t>RRU-DL</t>
  </si>
  <si>
    <t>RVT-BCP</t>
  </si>
  <si>
    <t>RU-SSB</t>
  </si>
  <si>
    <t>VZ-PGB</t>
  </si>
  <si>
    <t>UZ-PBG</t>
  </si>
  <si>
    <t>TZ-PLS</t>
  </si>
  <si>
    <t>GEMBOK3</t>
  </si>
  <si>
    <t>GEMBOK4</t>
  </si>
  <si>
    <t>GEMBOK5</t>
  </si>
  <si>
    <t>GEMBOK6</t>
  </si>
  <si>
    <t>GEMBOK7</t>
  </si>
  <si>
    <t>GEMBOK8</t>
  </si>
  <si>
    <t>GEMBOK9</t>
  </si>
  <si>
    <t>GEMBOK10</t>
  </si>
  <si>
    <t>GEMBOK11</t>
  </si>
  <si>
    <t>GEMBOK12</t>
  </si>
  <si>
    <t>GEMBOK13</t>
  </si>
  <si>
    <t>GEMBOK14</t>
  </si>
  <si>
    <t>GEMBOK15</t>
  </si>
  <si>
    <t>GEMBOK16</t>
  </si>
  <si>
    <t>GEMBOK17</t>
  </si>
  <si>
    <t>GEMBOK18</t>
  </si>
  <si>
    <t>GEMBOK19</t>
  </si>
  <si>
    <t>GEMBOK21</t>
  </si>
  <si>
    <t>GEMBOK22</t>
  </si>
  <si>
    <t>GEMBOK23</t>
  </si>
  <si>
    <t>GEMBOK24</t>
  </si>
  <si>
    <t>GEMBOK25</t>
  </si>
  <si>
    <t>GEMBOK26</t>
  </si>
  <si>
    <t>GEMBOK28</t>
  </si>
  <si>
    <t>GEMBOK29</t>
  </si>
  <si>
    <t>GEMBOK30</t>
  </si>
  <si>
    <t>GEMBOK31</t>
  </si>
  <si>
    <t>GEMBOK32</t>
  </si>
  <si>
    <t>GEMBOK33</t>
  </si>
  <si>
    <t>GEMBOK34</t>
  </si>
  <si>
    <t>GEMBOK35</t>
  </si>
  <si>
    <t>GEMBOK36</t>
  </si>
  <si>
    <t>GEMBOK37</t>
  </si>
  <si>
    <t>GEMBOK38</t>
  </si>
  <si>
    <t>GEMBOK39</t>
  </si>
  <si>
    <t>GEMBOK40</t>
  </si>
  <si>
    <t>GEMBOK41</t>
  </si>
  <si>
    <t>WU-DL</t>
  </si>
  <si>
    <t>WQX-DL</t>
  </si>
  <si>
    <t>VU-DL</t>
  </si>
  <si>
    <t>VR-DL</t>
  </si>
  <si>
    <t>UQU-DL</t>
  </si>
  <si>
    <t>UU</t>
  </si>
  <si>
    <t>YS-BB</t>
  </si>
  <si>
    <t>TU-SBH</t>
  </si>
  <si>
    <t>SXS-SBH</t>
  </si>
  <si>
    <t>QR-MJA</t>
  </si>
  <si>
    <t>QZU-CVSW</t>
  </si>
  <si>
    <t>QQU-CW</t>
  </si>
  <si>
    <t>GEMBOK</t>
  </si>
  <si>
    <t>ST-SMK</t>
  </si>
  <si>
    <t>TZU-TW</t>
  </si>
  <si>
    <t>UVR-TW</t>
  </si>
  <si>
    <t>VU-TW</t>
  </si>
  <si>
    <t>UWU-SBT</t>
  </si>
  <si>
    <t>QQZ-CW</t>
  </si>
  <si>
    <t>SZ-SMK</t>
  </si>
  <si>
    <t>RWU-JT</t>
  </si>
  <si>
    <t>XX-UT</t>
  </si>
  <si>
    <t>QYR-UT</t>
  </si>
  <si>
    <t>RT-SW</t>
  </si>
  <si>
    <t>RS-JT</t>
  </si>
  <si>
    <t>QVU-JT</t>
  </si>
  <si>
    <t>QR-JT</t>
  </si>
  <si>
    <t>GEMBOK42</t>
  </si>
  <si>
    <t>GEMBOK43</t>
  </si>
  <si>
    <t>GEMBOK44</t>
  </si>
  <si>
    <t>GEMBOK45</t>
  </si>
  <si>
    <t>GEMBOK46</t>
  </si>
  <si>
    <t>GEMBOK47</t>
  </si>
  <si>
    <t>GEMBOK48</t>
  </si>
  <si>
    <t>GEMBOK49</t>
  </si>
  <si>
    <t>GEMBOK50</t>
  </si>
  <si>
    <t>GEMBOK51</t>
  </si>
  <si>
    <t>GEMBOK52</t>
  </si>
  <si>
    <t>GEMBOK53</t>
  </si>
  <si>
    <t>GEMBOK54</t>
  </si>
  <si>
    <t>GEMBOK55</t>
  </si>
  <si>
    <t>GEMBOK56</t>
  </si>
  <si>
    <t>GEMBOK57</t>
  </si>
  <si>
    <t>GEMBOK58</t>
  </si>
  <si>
    <t>GEMBOK59</t>
  </si>
  <si>
    <t>GEMBOK60</t>
  </si>
  <si>
    <t>GEMBOK61</t>
  </si>
  <si>
    <t>GEMBOK62</t>
  </si>
  <si>
    <t>GEMBOK63</t>
  </si>
  <si>
    <t>GEMBOK64</t>
  </si>
  <si>
    <t>GEMBOK65</t>
  </si>
  <si>
    <t>GEMBOK66</t>
  </si>
  <si>
    <t>GEMBOK67</t>
  </si>
  <si>
    <t>GEMBOK68</t>
  </si>
  <si>
    <t>GEMBOK69</t>
  </si>
  <si>
    <t>GEMBOK (Ada Barcode)</t>
  </si>
  <si>
    <t>VQ-SBA</t>
  </si>
  <si>
    <t>TQU-SBA</t>
  </si>
  <si>
    <t>WS-SBA</t>
  </si>
  <si>
    <t>SW-SBA</t>
  </si>
  <si>
    <t>RVRU-SBA</t>
  </si>
  <si>
    <t>RX-SBA</t>
  </si>
  <si>
    <t>RRU-SBA</t>
  </si>
  <si>
    <t>RS-SBA</t>
  </si>
  <si>
    <t>UZ-SBA</t>
  </si>
  <si>
    <t>QVU-SSB</t>
  </si>
  <si>
    <t>SXU-CPM</t>
  </si>
  <si>
    <t>TS-SMK</t>
  </si>
  <si>
    <t>UR-SMK</t>
  </si>
  <si>
    <t>XRU-BB</t>
  </si>
  <si>
    <t>VR-BB</t>
  </si>
  <si>
    <t>WQS-BB</t>
  </si>
  <si>
    <t>TR-CT/SW</t>
  </si>
  <si>
    <t>STU-CM</t>
  </si>
  <si>
    <t>RWU-CT-SW</t>
  </si>
  <si>
    <t>QQT-UT</t>
  </si>
  <si>
    <t>RTU-CT/SW</t>
  </si>
  <si>
    <t>XZ-SMK</t>
  </si>
  <si>
    <t>RQ-CT/SW</t>
  </si>
  <si>
    <t>QRU-SBA</t>
  </si>
  <si>
    <t>QU-SBA</t>
  </si>
  <si>
    <t>RST-SSB</t>
  </si>
  <si>
    <t>TUV-TW</t>
  </si>
  <si>
    <t>RSU-APD</t>
  </si>
  <si>
    <t>Gembok Oliq (Silver) 30S</t>
  </si>
  <si>
    <t>Gembok Oliq (Silver) 30L</t>
  </si>
  <si>
    <t>Gembok Oliq (Silver) 40S</t>
  </si>
  <si>
    <t>Gembok Oliq (Silver) 40L</t>
  </si>
  <si>
    <t>Gembok Oliq (Silver) 50L</t>
  </si>
  <si>
    <t>Gembok Oliq (Silver) 60S</t>
  </si>
  <si>
    <t>Gembok Oliq (Silver) 60L</t>
  </si>
  <si>
    <t>Gembok Victory (Gold) 60S</t>
  </si>
  <si>
    <t>Gembok Norgen ISO9001 50L</t>
  </si>
  <si>
    <t>Gembok Norgen (Silver) 60S</t>
  </si>
  <si>
    <t>Gembok Norgen (Silver) 50L</t>
  </si>
  <si>
    <t>Gembok Norgen (Silver) 40L</t>
  </si>
  <si>
    <t>Gembok Norgen (Silver) 30S</t>
  </si>
  <si>
    <t>Gembok Norgen Black Iron (Hitam) 60S</t>
  </si>
  <si>
    <t>Gembok Norgen Black Iron (Hitam) 30S</t>
  </si>
  <si>
    <t>Gembok Norgen Black Iron (Hitam) 25S</t>
  </si>
  <si>
    <t>Gembok Norgen (Gold) 40S</t>
  </si>
  <si>
    <t>Gembok Norgen (Gol) 30S</t>
  </si>
  <si>
    <t>Gembok ATS HL88 (Gold) 30S</t>
  </si>
  <si>
    <t>Gembok ATS HL88 (Gold) 25S</t>
  </si>
  <si>
    <t>Gembok ATS HL88 (Gold) 20S</t>
  </si>
  <si>
    <t>Gembok ATS (Silver) 50L</t>
  </si>
  <si>
    <t>Gembok ATS (Silver) 50S</t>
  </si>
  <si>
    <t>Gembok ATS (Silver) 40L</t>
  </si>
  <si>
    <t>Gembok ATS (Hitam Pengaman) 60S</t>
  </si>
  <si>
    <t>Gembok ATS (Hitam Pengaman) 50S</t>
  </si>
  <si>
    <t>Gembok Kodai (Silver) 40L</t>
  </si>
  <si>
    <t>Gembok Kodai (Silver) 30L</t>
  </si>
  <si>
    <t>Gembok Atlantik (Gold) 50S</t>
  </si>
  <si>
    <t>Gembok Atlantik (Gold) 40S</t>
  </si>
  <si>
    <t>Gembok Binoche (Silver) 50S</t>
  </si>
  <si>
    <t>Gembok ZZ One (Silver) 70S</t>
  </si>
  <si>
    <t>Gembok Mac USA (Silver) 50S</t>
  </si>
  <si>
    <t>Gembok Bellucci BLC (Silver) 60S</t>
  </si>
  <si>
    <t>Gembok Bellucci BLC (Silver) 50S</t>
  </si>
  <si>
    <t>Gembok Bellucci BLC (Silver) 40S</t>
  </si>
  <si>
    <t>Gembok Kentaro (Silver) 60L</t>
  </si>
  <si>
    <t>Gembok Kentaro (Silver) 60S</t>
  </si>
  <si>
    <t>Gembok Kentaro (Silver) 50L</t>
  </si>
  <si>
    <t>Gembok Kentaro (Silver) 50S</t>
  </si>
  <si>
    <t>Gembok Kentaro (Silver) 40L</t>
  </si>
  <si>
    <t>Gembok Kentaro (Silver) 40S</t>
  </si>
  <si>
    <t>Gembok ICO (Silver) 60L</t>
  </si>
  <si>
    <t>Gembok ICO (Silver) 50L</t>
  </si>
  <si>
    <t>Gembok Savic (Silver) 30S</t>
  </si>
  <si>
    <t>Gembok Fread (Silvet) 30S</t>
  </si>
  <si>
    <t>Gembok Imperial (Hijau) 23S</t>
  </si>
  <si>
    <t>Gembok Imperial (Merah) 23S</t>
  </si>
  <si>
    <t>Gembok Imperial (Orange) 23S</t>
  </si>
  <si>
    <t>Gembok Imperial (Ungu) 23S</t>
  </si>
  <si>
    <t>Gembok Texas (Gold) 20mm</t>
  </si>
  <si>
    <t>Gembok Wanly (Gold) 20mm</t>
  </si>
  <si>
    <t>Gembok Wanly (Gold) 30mm</t>
  </si>
  <si>
    <t>Gembok Wanly (Gold) 40mm</t>
  </si>
  <si>
    <t>Gembok ATS Master Set 3pcs</t>
  </si>
  <si>
    <t>Gembok ATS (Gold) 60S</t>
  </si>
  <si>
    <t>Gembok ATS Brfu (Silver) 50S</t>
  </si>
  <si>
    <t>Gembok Norgen (Gold) 50S</t>
  </si>
  <si>
    <t>Gembok Super Yo-Zuri (Gold) 40L</t>
  </si>
  <si>
    <t>Gembok Owner (Silver) 40S</t>
  </si>
  <si>
    <t>Gembok MDN (Silver) 40S</t>
  </si>
  <si>
    <t>Gembok Norgen Titanium BC-88 50L</t>
  </si>
  <si>
    <t>Gembok Norgen Titanium BC-88 40L</t>
  </si>
  <si>
    <t>Gembok Norgen Titanium BC-88 30L</t>
  </si>
  <si>
    <t xml:space="preserve">Gembok Blossom BL 13 (Biru Hitam) 50L </t>
  </si>
  <si>
    <t>Gembok Blossom BL 13 (Biru Hitam) 40L</t>
  </si>
  <si>
    <t>Gembok Blossom LS 23 (Silver) 60S</t>
  </si>
  <si>
    <t>Gembok Blossom LS 23 (Silver) 50S</t>
  </si>
  <si>
    <t>Gembok Blossom LS 21 (Silver) 50L</t>
  </si>
  <si>
    <t>Gembok Blossom LS 21 (Silver) 40L</t>
  </si>
  <si>
    <t>Gembok Blossom LS 21 (Silver) 50S</t>
  </si>
  <si>
    <t>Gembok Blossom LS 21 (Silver) 40S</t>
  </si>
  <si>
    <t>Gembok Blossom BC90 (Gold) 20S</t>
  </si>
  <si>
    <t>Gembok Blossom HP 82 (Silver) 40S</t>
  </si>
  <si>
    <t>Gembok Jordan (Silver) 50S</t>
  </si>
  <si>
    <t>Gembok Haston Art 1092-001 (Silver) 40L</t>
  </si>
  <si>
    <t>Gembok Haston Art 1250 (Silver) 40S</t>
  </si>
  <si>
    <t>Gembok Haston Art 1250 (Silver) 60S</t>
  </si>
  <si>
    <t>Gembok Toho (Silver) 50L</t>
  </si>
  <si>
    <t>Gembok Toho (Silver) 50S</t>
  </si>
  <si>
    <t>Gembok Toho (Silver) 60S</t>
  </si>
  <si>
    <t>Gembok Wilmer (Silver) 60L</t>
  </si>
  <si>
    <t>Gembok Wilmer (Silver) 50L</t>
  </si>
  <si>
    <t>Gembok Wilmer (Silver) 40L</t>
  </si>
  <si>
    <t>Gembok Wilmer 40L</t>
  </si>
  <si>
    <t>Gembok Bestguard A294 (Gold) 40S</t>
  </si>
  <si>
    <t>Gembok Liebao (Silver) 40S</t>
  </si>
  <si>
    <t>Gembok Combination Lock CJSJ</t>
  </si>
  <si>
    <t>Gembok Blossom (Hitam) 30mm</t>
  </si>
  <si>
    <t>Gembok Blossom (Hitam) 40mm</t>
  </si>
  <si>
    <t>Gembok Blossom 38mm</t>
  </si>
  <si>
    <t>Gembok Tekiro 50mm</t>
  </si>
  <si>
    <t>Gembok Aldo 40mm</t>
  </si>
  <si>
    <t>Gembok Toho (Gold) 40L</t>
  </si>
  <si>
    <t>Gembok Norgen ISO9001 40S</t>
  </si>
  <si>
    <t>Gembok Onat (Silver) 50S</t>
  </si>
  <si>
    <t>Gembok Onat (Silver) 40L</t>
  </si>
  <si>
    <t>Gembok ATS (Silver) 40S</t>
  </si>
  <si>
    <t>GEMBOK70</t>
  </si>
  <si>
    <t>GEMBK01</t>
  </si>
  <si>
    <t>GEMBK02</t>
  </si>
  <si>
    <t>GEMBK03</t>
  </si>
  <si>
    <t>GEMBK04</t>
  </si>
  <si>
    <t>GEMBK05</t>
  </si>
  <si>
    <t>GEMBK06</t>
  </si>
  <si>
    <t>GEMBK07</t>
  </si>
  <si>
    <t>GEMBK08</t>
  </si>
  <si>
    <t>GEMBK09</t>
  </si>
  <si>
    <t>GEMBK10</t>
  </si>
  <si>
    <t>GEMBK11</t>
  </si>
  <si>
    <t>GEMBK12</t>
  </si>
  <si>
    <t>GEMBK13</t>
  </si>
  <si>
    <t>GEMBK14</t>
  </si>
  <si>
    <t>GEMBK15</t>
  </si>
  <si>
    <t>GEMBK16</t>
  </si>
  <si>
    <t>GEMBK17</t>
  </si>
  <si>
    <t>GEMBK18</t>
  </si>
  <si>
    <t>GEMBK19</t>
  </si>
  <si>
    <t>GEMBK20</t>
  </si>
  <si>
    <t>GEMBK21</t>
  </si>
  <si>
    <t>GEMBK22</t>
  </si>
  <si>
    <t>GEMBK23</t>
  </si>
  <si>
    <t>GEMBK24</t>
  </si>
  <si>
    <t>GEMBK25</t>
  </si>
  <si>
    <t>GEMBK26</t>
  </si>
  <si>
    <t>GEMBK27</t>
  </si>
  <si>
    <t>GEMBK28</t>
  </si>
  <si>
    <t>GEMBK29</t>
  </si>
  <si>
    <t>GEMBK30</t>
  </si>
  <si>
    <t>GEMBOK71</t>
  </si>
  <si>
    <t>GEMBOK72</t>
  </si>
  <si>
    <t>GEMBOK73</t>
  </si>
  <si>
    <t>GEMBOK74</t>
  </si>
  <si>
    <t>GEMBOK75</t>
  </si>
  <si>
    <t>GEMBOK76</t>
  </si>
  <si>
    <t>GEMBOK77</t>
  </si>
  <si>
    <t>Gembok ATS (Silver) 30S</t>
  </si>
  <si>
    <t>Gembok ATS (Silver) 30L</t>
  </si>
  <si>
    <t>Gembok Belucci Silver 30L</t>
  </si>
  <si>
    <t>RTU-SMK</t>
  </si>
  <si>
    <t>QSV-SMK</t>
  </si>
  <si>
    <t>QTQ-SMK</t>
  </si>
  <si>
    <t>SZ-PB</t>
  </si>
  <si>
    <t>Gembok Blossom BC9130 30mm</t>
  </si>
  <si>
    <t>Gembok Blossom BC9132 32mm</t>
  </si>
  <si>
    <t>Gembok Blossom BC9140 40mm</t>
  </si>
  <si>
    <t>QSU-SBA</t>
  </si>
  <si>
    <t>GEMBOK78</t>
  </si>
  <si>
    <t>Gembok ATS Gold 40S</t>
  </si>
  <si>
    <t>QW-SMK</t>
  </si>
  <si>
    <t>Gembok Top Stainless 30S</t>
  </si>
  <si>
    <t>GEMBOK79</t>
  </si>
  <si>
    <t>VQU-PJ/LT</t>
  </si>
  <si>
    <t>Gembok Kodai Stainless 30S</t>
  </si>
  <si>
    <t>WR-PJ/LT</t>
  </si>
  <si>
    <t>GEMBOK80</t>
  </si>
  <si>
    <t>QXR-SMK</t>
  </si>
  <si>
    <t>Kode Barang</t>
  </si>
  <si>
    <t>gemb1</t>
  </si>
  <si>
    <t>Gembok Chrome Kotak Wilmer 30mm</t>
  </si>
  <si>
    <t>XS-JM</t>
  </si>
  <si>
    <t>gemb2</t>
  </si>
  <si>
    <t xml:space="preserve">Gembok Kuningan ATS 20mm </t>
  </si>
  <si>
    <t>QZU-SMK</t>
  </si>
  <si>
    <t>Gembok Onat 25mm</t>
  </si>
  <si>
    <t>TU-DL</t>
  </si>
  <si>
    <t>gemb3</t>
  </si>
  <si>
    <t>gemb4</t>
  </si>
  <si>
    <t>TQ-SB/HR</t>
  </si>
  <si>
    <t>Gembok Onat 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</si>
</sst>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5" fillId="0" borderId="1" xfId="0" applyFont="1" applyBorder="1" applyAlignment="1">
      <alignment horizontal="left" vertical="center"/>
    </xf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B105-C3DD-40E6-93B7-8CEF75888457}">
  <dimension ref="A1:J23"/>
  <sheetViews>
    <sheetView tabSelected="1" workbookViewId="0">
      <pane ySplit="3" topLeftCell="A4" activePane="bottomLeft" state="frozen"/>
      <selection pane="bottomLeft" activeCell="L7" sqref="L7"/>
    </sheetView>
  </sheetViews>
  <sheetFormatPr defaultRowHeight="15" x14ac:dyDescent="0.25"/>
  <cols>
    <col min="1" max="1" width="11.5703125" customWidth="1"/>
    <col min="2" max="2" width="17.140625" style="1" customWidth="1"/>
    <col min="3" max="3" width="37.28515625" customWidth="1"/>
    <col min="4" max="4" width="15.28515625" style="13" customWidth="1"/>
    <col min="5" max="5" width="14.28515625" customWidth="1"/>
    <col min="6" max="6" width="14.85546875" style="13" customWidth="1"/>
    <col min="7" max="7" width="9.7109375" style="17" bestFit="1" customWidth="1"/>
    <col min="8" max="8" width="15.5703125" customWidth="1"/>
    <col min="10" max="10" width="8" customWidth="1"/>
  </cols>
  <sheetData>
    <row r="1" spans="1:10" x14ac:dyDescent="0.25">
      <c r="C1" s="10" t="s">
        <v>96</v>
      </c>
    </row>
    <row r="2" spans="1:10" x14ac:dyDescent="0.25">
      <c r="J2" s="3"/>
    </row>
    <row r="3" spans="1:10" ht="20.100000000000001" customHeight="1" x14ac:dyDescent="0.25">
      <c r="A3" s="4" t="s">
        <v>0</v>
      </c>
      <c r="B3" s="5" t="s">
        <v>1</v>
      </c>
      <c r="C3" s="4" t="s">
        <v>2</v>
      </c>
      <c r="D3" s="14" t="s">
        <v>3</v>
      </c>
      <c r="E3" s="4" t="s">
        <v>325</v>
      </c>
      <c r="F3" s="14" t="s">
        <v>5</v>
      </c>
      <c r="G3" s="4" t="s">
        <v>6</v>
      </c>
      <c r="J3" s="11"/>
    </row>
    <row r="4" spans="1:10" x14ac:dyDescent="0.25">
      <c r="A4" s="7" t="s">
        <v>326</v>
      </c>
      <c r="B4" s="8">
        <v>8991000108303</v>
      </c>
      <c r="C4" s="7" t="s">
        <v>327</v>
      </c>
      <c r="D4" s="15">
        <v>8300</v>
      </c>
      <c r="E4" s="7" t="s">
        <v>328</v>
      </c>
      <c r="F4" s="15">
        <v>25000</v>
      </c>
      <c r="G4" s="16">
        <v>12</v>
      </c>
      <c r="H4" s="13">
        <f>F4-D4</f>
        <v>16700</v>
      </c>
    </row>
    <row r="5" spans="1:10" x14ac:dyDescent="0.25">
      <c r="A5" s="7" t="s">
        <v>329</v>
      </c>
      <c r="B5" s="8">
        <v>6941640788207</v>
      </c>
      <c r="C5" s="7" t="s">
        <v>330</v>
      </c>
      <c r="D5" s="15">
        <v>10500</v>
      </c>
      <c r="E5" s="7" t="s">
        <v>331</v>
      </c>
      <c r="F5" s="15">
        <v>25000</v>
      </c>
      <c r="G5" s="16">
        <v>36</v>
      </c>
      <c r="H5" s="13">
        <f>F5-D5</f>
        <v>14500</v>
      </c>
    </row>
    <row r="6" spans="1:10" x14ac:dyDescent="0.25">
      <c r="A6" s="7" t="s">
        <v>334</v>
      </c>
      <c r="B6" s="8">
        <v>416078</v>
      </c>
      <c r="C6" s="7" t="s">
        <v>332</v>
      </c>
      <c r="D6" s="15">
        <v>4500</v>
      </c>
      <c r="E6" s="7" t="s">
        <v>333</v>
      </c>
      <c r="F6" s="15">
        <v>12000</v>
      </c>
      <c r="G6" s="16">
        <v>36</v>
      </c>
      <c r="H6" s="13">
        <f>F6-D6</f>
        <v>7500</v>
      </c>
    </row>
    <row r="7" spans="1:10" x14ac:dyDescent="0.25">
      <c r="A7" s="7" t="s">
        <v>335</v>
      </c>
      <c r="B7" s="8">
        <v>416079</v>
      </c>
      <c r="C7" s="18" t="s">
        <v>337</v>
      </c>
      <c r="D7" s="19">
        <v>4100</v>
      </c>
      <c r="E7" s="18" t="s">
        <v>336</v>
      </c>
      <c r="F7" s="19">
        <v>8000</v>
      </c>
      <c r="G7" s="20">
        <v>144</v>
      </c>
      <c r="H7" s="13"/>
    </row>
    <row r="8" spans="1:10" x14ac:dyDescent="0.25">
      <c r="A8" s="7"/>
      <c r="B8" s="8"/>
      <c r="C8" s="7"/>
      <c r="D8" s="15"/>
      <c r="E8" s="7"/>
      <c r="F8" s="15"/>
      <c r="G8" s="16"/>
      <c r="H8" s="13"/>
    </row>
    <row r="9" spans="1:10" x14ac:dyDescent="0.25">
      <c r="A9" s="7"/>
      <c r="B9" s="8"/>
      <c r="C9" s="7"/>
      <c r="D9" s="15"/>
      <c r="E9" s="7"/>
      <c r="F9" s="15"/>
      <c r="G9" s="16"/>
      <c r="H9" s="13"/>
    </row>
    <row r="10" spans="1:10" x14ac:dyDescent="0.25">
      <c r="A10" s="7"/>
      <c r="B10" s="8"/>
      <c r="C10" s="7"/>
      <c r="D10" s="15"/>
      <c r="E10" s="7"/>
      <c r="F10" s="15"/>
      <c r="G10" s="16"/>
      <c r="H10" s="13"/>
    </row>
    <row r="11" spans="1:10" x14ac:dyDescent="0.25">
      <c r="A11" s="7"/>
      <c r="B11" s="8"/>
      <c r="C11" s="7"/>
      <c r="D11" s="15"/>
      <c r="E11" s="7"/>
      <c r="F11" s="15"/>
      <c r="G11" s="16"/>
      <c r="H11" s="13"/>
    </row>
    <row r="12" spans="1:10" x14ac:dyDescent="0.25">
      <c r="A12" s="7"/>
      <c r="B12" s="8"/>
      <c r="C12" s="7"/>
      <c r="D12" s="15"/>
      <c r="E12" s="7"/>
      <c r="F12" s="15"/>
      <c r="G12" s="16"/>
      <c r="H12" s="13"/>
    </row>
    <row r="13" spans="1:10" x14ac:dyDescent="0.25">
      <c r="A13" s="7"/>
      <c r="B13" s="8"/>
      <c r="C13" s="7"/>
      <c r="D13" s="15"/>
      <c r="E13" s="7"/>
      <c r="F13" s="15"/>
      <c r="G13" s="16"/>
      <c r="H13" s="13"/>
    </row>
    <row r="14" spans="1:10" x14ac:dyDescent="0.25">
      <c r="A14" s="7"/>
      <c r="B14" s="8"/>
      <c r="C14" s="7"/>
      <c r="D14" s="15"/>
      <c r="E14" s="7"/>
      <c r="F14" s="15"/>
      <c r="G14" s="16"/>
      <c r="H14" s="13"/>
    </row>
    <row r="15" spans="1:10" x14ac:dyDescent="0.25">
      <c r="A15" s="7"/>
      <c r="B15" s="8"/>
      <c r="C15" s="7"/>
      <c r="D15" s="15"/>
      <c r="E15" s="7"/>
      <c r="F15" s="15"/>
      <c r="G15" s="16"/>
      <c r="H15" s="13"/>
    </row>
    <row r="16" spans="1:10" x14ac:dyDescent="0.25">
      <c r="A16" s="7"/>
      <c r="B16" s="8"/>
      <c r="C16" s="7"/>
      <c r="D16" s="15"/>
      <c r="E16" s="7"/>
      <c r="F16" s="15"/>
      <c r="G16" s="16"/>
      <c r="H16" s="13"/>
    </row>
    <row r="17" spans="1:8" x14ac:dyDescent="0.25">
      <c r="A17" s="7"/>
      <c r="B17" s="8"/>
      <c r="C17" s="7"/>
      <c r="D17" s="15"/>
      <c r="E17" s="7"/>
      <c r="F17" s="15"/>
      <c r="G17" s="16"/>
      <c r="H17" s="13"/>
    </row>
    <row r="18" spans="1:8" x14ac:dyDescent="0.25">
      <c r="A18" s="7"/>
      <c r="B18" s="8"/>
      <c r="C18" s="7"/>
      <c r="D18" s="15"/>
      <c r="E18" s="7"/>
      <c r="F18" s="15"/>
      <c r="G18" s="16"/>
      <c r="H18" s="13"/>
    </row>
    <row r="19" spans="1:8" x14ac:dyDescent="0.25">
      <c r="A19" s="7"/>
      <c r="B19" s="8"/>
      <c r="C19" s="7"/>
      <c r="D19" s="15"/>
      <c r="E19" s="7"/>
      <c r="F19" s="15"/>
      <c r="G19" s="16"/>
      <c r="H19" s="13"/>
    </row>
    <row r="20" spans="1:8" x14ac:dyDescent="0.25">
      <c r="A20" s="7"/>
      <c r="B20" s="8"/>
      <c r="C20" s="7"/>
      <c r="D20" s="15"/>
      <c r="E20" s="7"/>
      <c r="F20" s="15"/>
      <c r="G20" s="16"/>
      <c r="H20" s="13"/>
    </row>
    <row r="21" spans="1:8" x14ac:dyDescent="0.25">
      <c r="A21" s="7"/>
      <c r="B21" s="8"/>
      <c r="C21" s="7"/>
      <c r="D21" s="15"/>
      <c r="E21" s="7"/>
      <c r="F21" s="15"/>
      <c r="G21" s="16"/>
      <c r="H21" s="13"/>
    </row>
    <row r="22" spans="1:8" x14ac:dyDescent="0.25">
      <c r="A22" s="7"/>
      <c r="B22" s="8"/>
      <c r="C22" s="7"/>
      <c r="D22" s="15"/>
      <c r="E22" s="7"/>
      <c r="F22" s="15"/>
      <c r="G22" s="16"/>
      <c r="H22" s="13"/>
    </row>
    <row r="23" spans="1:8" x14ac:dyDescent="0.25">
      <c r="A23" s="7"/>
      <c r="B23" s="8"/>
      <c r="C23" s="7"/>
      <c r="D23" s="15"/>
      <c r="E23" s="7"/>
      <c r="F23" s="15"/>
      <c r="G23" s="16"/>
      <c r="H23" s="13"/>
    </row>
  </sheetData>
  <phoneticPr fontId="2" type="noConversion"/>
  <conditionalFormatting sqref="A3">
    <cfRule type="duplicateValues" dxfId="17" priority="3"/>
    <cfRule type="duplicateValues" dxfId="16" priority="6"/>
  </conditionalFormatting>
  <conditionalFormatting sqref="A1:B1048576">
    <cfRule type="duplicateValues" dxfId="15" priority="1"/>
  </conditionalFormatting>
  <conditionalFormatting sqref="B2:B3">
    <cfRule type="duplicateValues" dxfId="14" priority="2"/>
  </conditionalFormatting>
  <conditionalFormatting sqref="B3">
    <cfRule type="duplicateValues" dxfId="13" priority="4"/>
    <cfRule type="duplicateValues" dxfId="12" priority="5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87"/>
  <sheetViews>
    <sheetView workbookViewId="0">
      <pane ySplit="3" topLeftCell="A4" activePane="bottomLeft" state="frozen"/>
      <selection pane="bottomLeft" activeCell="C25" sqref="C25"/>
    </sheetView>
  </sheetViews>
  <sheetFormatPr defaultRowHeight="15" x14ac:dyDescent="0.25"/>
  <cols>
    <col min="1" max="1" width="11.5703125" customWidth="1"/>
    <col min="2" max="2" width="15.140625" style="1" customWidth="1"/>
    <col min="3" max="3" width="37.28515625" customWidth="1"/>
    <col min="4" max="4" width="13.7109375" style="13" customWidth="1"/>
    <col min="5" max="5" width="12" customWidth="1"/>
    <col min="6" max="6" width="12.5703125" style="13" customWidth="1"/>
    <col min="7" max="7" width="9.140625" style="17" bestFit="1" customWidth="1"/>
    <col min="8" max="8" width="15.5703125" customWidth="1"/>
    <col min="10" max="10" width="8" customWidth="1"/>
  </cols>
  <sheetData>
    <row r="1" spans="1:10" x14ac:dyDescent="0.25">
      <c r="C1" s="10" t="s">
        <v>96</v>
      </c>
      <c r="H1">
        <v>11</v>
      </c>
    </row>
    <row r="2" spans="1:10" x14ac:dyDescent="0.25">
      <c r="H2">
        <v>9</v>
      </c>
      <c r="J2" s="3"/>
    </row>
    <row r="3" spans="1:10" ht="20.100000000000001" customHeight="1" x14ac:dyDescent="0.25">
      <c r="A3" s="4" t="s">
        <v>0</v>
      </c>
      <c r="B3" s="5" t="s">
        <v>1</v>
      </c>
      <c r="C3" s="4" t="s">
        <v>2</v>
      </c>
      <c r="D3" s="14" t="s">
        <v>3</v>
      </c>
      <c r="E3" s="4" t="s">
        <v>325</v>
      </c>
      <c r="F3" s="14" t="s">
        <v>5</v>
      </c>
      <c r="G3" s="4" t="s">
        <v>6</v>
      </c>
      <c r="H3">
        <f>SUM(H1:H2)</f>
        <v>20</v>
      </c>
      <c r="J3" s="11"/>
    </row>
    <row r="4" spans="1:10" x14ac:dyDescent="0.25">
      <c r="A4" s="7" t="s">
        <v>7</v>
      </c>
      <c r="B4" s="8">
        <v>9986531</v>
      </c>
      <c r="C4" s="7" t="s">
        <v>168</v>
      </c>
      <c r="D4" s="15">
        <v>6500</v>
      </c>
      <c r="E4" s="7" t="s">
        <v>9</v>
      </c>
      <c r="F4" s="15">
        <v>20000</v>
      </c>
      <c r="G4" s="16">
        <v>21</v>
      </c>
      <c r="H4" s="13">
        <f>F4-D4</f>
        <v>13500</v>
      </c>
    </row>
    <row r="5" spans="1:10" x14ac:dyDescent="0.25">
      <c r="A5" s="7" t="s">
        <v>8</v>
      </c>
      <c r="B5" s="8">
        <v>9986532</v>
      </c>
      <c r="C5" s="7" t="s">
        <v>169</v>
      </c>
      <c r="D5" s="15">
        <v>7200</v>
      </c>
      <c r="E5" s="7" t="s">
        <v>10</v>
      </c>
      <c r="F5" s="15">
        <v>28000</v>
      </c>
      <c r="G5" s="16">
        <v>12</v>
      </c>
      <c r="H5" s="13">
        <f t="shared" ref="H5:H51" si="0">F5-D5</f>
        <v>20800</v>
      </c>
    </row>
    <row r="6" spans="1:10" x14ac:dyDescent="0.25">
      <c r="A6" s="7" t="s">
        <v>47</v>
      </c>
      <c r="B6" s="8">
        <v>9986533</v>
      </c>
      <c r="C6" s="7" t="s">
        <v>170</v>
      </c>
      <c r="D6" s="15">
        <v>8600</v>
      </c>
      <c r="E6" s="7" t="s">
        <v>11</v>
      </c>
      <c r="F6" s="15">
        <v>35000</v>
      </c>
      <c r="G6" s="16">
        <v>3</v>
      </c>
      <c r="H6" s="13">
        <f t="shared" si="0"/>
        <v>26400</v>
      </c>
    </row>
    <row r="7" spans="1:10" x14ac:dyDescent="0.25">
      <c r="A7" s="7" t="s">
        <v>48</v>
      </c>
      <c r="B7" s="8">
        <v>9986534</v>
      </c>
      <c r="C7" s="7" t="s">
        <v>171</v>
      </c>
      <c r="D7" s="15">
        <v>9200</v>
      </c>
      <c r="E7" s="7" t="s">
        <v>12</v>
      </c>
      <c r="F7" s="15">
        <v>35000</v>
      </c>
      <c r="G7" s="16">
        <v>11</v>
      </c>
      <c r="H7" s="13">
        <f t="shared" si="0"/>
        <v>25800</v>
      </c>
    </row>
    <row r="8" spans="1:10" x14ac:dyDescent="0.25">
      <c r="A8" s="7" t="s">
        <v>49</v>
      </c>
      <c r="B8" s="8">
        <v>9986535</v>
      </c>
      <c r="C8" s="7" t="s">
        <v>172</v>
      </c>
      <c r="D8" s="15">
        <v>11200</v>
      </c>
      <c r="E8" s="7" t="s">
        <v>13</v>
      </c>
      <c r="F8" s="15">
        <v>45000</v>
      </c>
      <c r="G8" s="16">
        <v>7</v>
      </c>
      <c r="H8" s="13">
        <f t="shared" si="0"/>
        <v>33800</v>
      </c>
    </row>
    <row r="9" spans="1:10" x14ac:dyDescent="0.25">
      <c r="A9" s="7" t="s">
        <v>50</v>
      </c>
      <c r="B9" s="8">
        <v>9986536</v>
      </c>
      <c r="C9" s="7" t="s">
        <v>173</v>
      </c>
      <c r="D9" s="15">
        <v>22000</v>
      </c>
      <c r="E9" s="7" t="s">
        <v>14</v>
      </c>
      <c r="F9" s="15">
        <v>55000</v>
      </c>
      <c r="G9" s="16">
        <v>14</v>
      </c>
      <c r="H9" s="13">
        <f t="shared" si="0"/>
        <v>33000</v>
      </c>
    </row>
    <row r="10" spans="1:10" x14ac:dyDescent="0.25">
      <c r="A10" s="7" t="s">
        <v>51</v>
      </c>
      <c r="B10" s="8">
        <v>9986537</v>
      </c>
      <c r="C10" s="7" t="s">
        <v>174</v>
      </c>
      <c r="D10" s="15">
        <v>16000</v>
      </c>
      <c r="E10" s="7" t="s">
        <v>15</v>
      </c>
      <c r="F10" s="15">
        <v>55000</v>
      </c>
      <c r="G10" s="16">
        <v>9</v>
      </c>
      <c r="H10" s="13">
        <f t="shared" si="0"/>
        <v>39000</v>
      </c>
    </row>
    <row r="11" spans="1:10" x14ac:dyDescent="0.25">
      <c r="A11" s="7" t="s">
        <v>52</v>
      </c>
      <c r="B11" s="8">
        <v>9986538</v>
      </c>
      <c r="C11" s="7" t="s">
        <v>175</v>
      </c>
      <c r="D11" s="15">
        <v>34000</v>
      </c>
      <c r="E11" s="7" t="s">
        <v>16</v>
      </c>
      <c r="F11" s="15">
        <v>85000</v>
      </c>
      <c r="G11" s="16">
        <v>3</v>
      </c>
      <c r="H11" s="13">
        <f t="shared" si="0"/>
        <v>51000</v>
      </c>
    </row>
    <row r="12" spans="1:10" x14ac:dyDescent="0.25">
      <c r="A12" s="7" t="s">
        <v>53</v>
      </c>
      <c r="B12" s="8">
        <v>9986539</v>
      </c>
      <c r="C12" s="7" t="s">
        <v>176</v>
      </c>
      <c r="D12" s="15">
        <v>35500</v>
      </c>
      <c r="E12" s="7" t="s">
        <v>17</v>
      </c>
      <c r="F12" s="15">
        <v>65000</v>
      </c>
      <c r="G12" s="16">
        <v>6</v>
      </c>
      <c r="H12" s="13">
        <f t="shared" si="0"/>
        <v>29500</v>
      </c>
    </row>
    <row r="13" spans="1:10" x14ac:dyDescent="0.25">
      <c r="A13" s="7" t="s">
        <v>54</v>
      </c>
      <c r="B13" s="8">
        <v>9986540</v>
      </c>
      <c r="C13" s="7" t="s">
        <v>262</v>
      </c>
      <c r="D13" s="15">
        <v>25000</v>
      </c>
      <c r="E13" s="7" t="s">
        <v>18</v>
      </c>
      <c r="F13" s="15">
        <v>55000</v>
      </c>
      <c r="G13" s="16">
        <v>6</v>
      </c>
      <c r="H13" s="13">
        <f t="shared" si="0"/>
        <v>30000</v>
      </c>
    </row>
    <row r="14" spans="1:10" x14ac:dyDescent="0.25">
      <c r="A14" s="7" t="s">
        <v>55</v>
      </c>
      <c r="B14" s="8">
        <v>9986541</v>
      </c>
      <c r="C14" s="7" t="s">
        <v>177</v>
      </c>
      <c r="D14" s="15">
        <v>35000</v>
      </c>
      <c r="E14" s="7" t="s">
        <v>19</v>
      </c>
      <c r="F14" s="15">
        <v>75000</v>
      </c>
      <c r="G14" s="16">
        <v>41</v>
      </c>
      <c r="H14" s="13">
        <f t="shared" si="0"/>
        <v>40000</v>
      </c>
    </row>
    <row r="15" spans="1:10" x14ac:dyDescent="0.25">
      <c r="A15" s="7" t="s">
        <v>56</v>
      </c>
      <c r="B15" s="8">
        <v>9986542</v>
      </c>
      <c r="C15" s="7" t="s">
        <v>178</v>
      </c>
      <c r="D15" s="15">
        <v>35500</v>
      </c>
      <c r="E15" s="7" t="s">
        <v>17</v>
      </c>
      <c r="F15" s="15">
        <v>65000</v>
      </c>
      <c r="G15" s="16">
        <v>24</v>
      </c>
      <c r="H15" s="13">
        <f t="shared" si="0"/>
        <v>29500</v>
      </c>
    </row>
    <row r="16" spans="1:10" x14ac:dyDescent="0.25">
      <c r="A16" s="7" t="s">
        <v>57</v>
      </c>
      <c r="B16" s="8">
        <v>9986543</v>
      </c>
      <c r="C16" s="7" t="s">
        <v>179</v>
      </c>
      <c r="D16" s="15">
        <v>26000</v>
      </c>
      <c r="E16" s="7" t="s">
        <v>20</v>
      </c>
      <c r="F16" s="15">
        <v>45000</v>
      </c>
      <c r="G16" s="16">
        <v>7</v>
      </c>
      <c r="H16" s="13">
        <f t="shared" si="0"/>
        <v>19000</v>
      </c>
    </row>
    <row r="17" spans="1:8" x14ac:dyDescent="0.25">
      <c r="A17" s="7" t="s">
        <v>58</v>
      </c>
      <c r="B17" s="8">
        <v>9986544</v>
      </c>
      <c r="C17" s="7" t="s">
        <v>180</v>
      </c>
      <c r="D17" s="15">
        <v>19000</v>
      </c>
      <c r="E17" s="7" t="s">
        <v>21</v>
      </c>
      <c r="F17" s="15">
        <v>40000</v>
      </c>
      <c r="G17" s="16">
        <v>24</v>
      </c>
      <c r="H17" s="13">
        <f t="shared" si="0"/>
        <v>21000</v>
      </c>
    </row>
    <row r="18" spans="1:8" x14ac:dyDescent="0.25">
      <c r="A18" s="7" t="s">
        <v>59</v>
      </c>
      <c r="B18" s="8">
        <v>9986545</v>
      </c>
      <c r="C18" s="7" t="s">
        <v>181</v>
      </c>
      <c r="D18" s="15">
        <v>38400</v>
      </c>
      <c r="E18" s="7" t="s">
        <v>22</v>
      </c>
      <c r="F18" s="15">
        <v>70000</v>
      </c>
      <c r="G18" s="16">
        <v>4</v>
      </c>
      <c r="H18" s="13">
        <f t="shared" si="0"/>
        <v>31600</v>
      </c>
    </row>
    <row r="19" spans="1:8" x14ac:dyDescent="0.25">
      <c r="A19" s="7" t="s">
        <v>60</v>
      </c>
      <c r="B19" s="8">
        <v>9986546</v>
      </c>
      <c r="C19" s="7" t="s">
        <v>182</v>
      </c>
      <c r="D19" s="15">
        <v>7700</v>
      </c>
      <c r="E19" s="7" t="s">
        <v>23</v>
      </c>
      <c r="F19" s="15">
        <v>15000</v>
      </c>
      <c r="G19" s="16">
        <v>6</v>
      </c>
      <c r="H19" s="13">
        <f t="shared" si="0"/>
        <v>7300</v>
      </c>
    </row>
    <row r="20" spans="1:8" x14ac:dyDescent="0.25">
      <c r="A20" s="7" t="s">
        <v>61</v>
      </c>
      <c r="B20" s="8">
        <v>9986547</v>
      </c>
      <c r="C20" s="7" t="s">
        <v>183</v>
      </c>
      <c r="D20" s="15">
        <v>11500</v>
      </c>
      <c r="E20" s="7" t="s">
        <v>24</v>
      </c>
      <c r="F20" s="15">
        <v>35000</v>
      </c>
      <c r="G20" s="16">
        <v>30</v>
      </c>
      <c r="H20" s="13">
        <f t="shared" si="0"/>
        <v>23500</v>
      </c>
    </row>
    <row r="21" spans="1:8" x14ac:dyDescent="0.25">
      <c r="A21" s="7" t="s">
        <v>62</v>
      </c>
      <c r="B21" s="8">
        <v>9986548</v>
      </c>
      <c r="C21" s="7" t="s">
        <v>184</v>
      </c>
      <c r="D21" s="15">
        <v>19500</v>
      </c>
      <c r="E21" s="7" t="s">
        <v>25</v>
      </c>
      <c r="F21" s="15">
        <v>50000</v>
      </c>
      <c r="G21" s="16">
        <v>0</v>
      </c>
      <c r="H21" s="13">
        <f t="shared" si="0"/>
        <v>30500</v>
      </c>
    </row>
    <row r="22" spans="1:8" x14ac:dyDescent="0.25">
      <c r="A22" s="7" t="s">
        <v>63</v>
      </c>
      <c r="B22" s="8">
        <v>9986549</v>
      </c>
      <c r="C22" s="7" t="s">
        <v>185</v>
      </c>
      <c r="D22" s="15">
        <v>14000</v>
      </c>
      <c r="E22" s="7" t="s">
        <v>26</v>
      </c>
      <c r="F22" s="15">
        <v>38000</v>
      </c>
      <c r="G22" s="16">
        <v>14</v>
      </c>
      <c r="H22" s="13">
        <f t="shared" si="0"/>
        <v>24000</v>
      </c>
    </row>
    <row r="23" spans="1:8" x14ac:dyDescent="0.25">
      <c r="A23" s="7" t="s">
        <v>64</v>
      </c>
      <c r="B23" s="8">
        <v>9986550</v>
      </c>
      <c r="C23" s="7" t="s">
        <v>186</v>
      </c>
      <c r="D23" s="15">
        <v>15000</v>
      </c>
      <c r="E23" s="7" t="s">
        <v>27</v>
      </c>
      <c r="F23" s="15">
        <v>38000</v>
      </c>
      <c r="G23" s="16">
        <v>12</v>
      </c>
      <c r="H23" s="13">
        <f t="shared" si="0"/>
        <v>23000</v>
      </c>
    </row>
    <row r="24" spans="1:8" x14ac:dyDescent="0.25">
      <c r="A24" s="7" t="s">
        <v>65</v>
      </c>
      <c r="B24" s="8">
        <v>9986551</v>
      </c>
      <c r="C24" s="7" t="s">
        <v>187</v>
      </c>
      <c r="D24" s="15">
        <v>15000</v>
      </c>
      <c r="E24" s="7" t="s">
        <v>28</v>
      </c>
      <c r="F24" s="15">
        <v>28000</v>
      </c>
      <c r="G24" s="16">
        <v>9</v>
      </c>
      <c r="H24" s="13">
        <f t="shared" si="0"/>
        <v>13000</v>
      </c>
    </row>
    <row r="25" spans="1:8" x14ac:dyDescent="0.25">
      <c r="A25" s="7" t="s">
        <v>66</v>
      </c>
      <c r="B25" s="8">
        <v>9986552</v>
      </c>
      <c r="C25" s="7" t="s">
        <v>188</v>
      </c>
      <c r="D25" s="15">
        <v>10000</v>
      </c>
      <c r="E25" s="7" t="s">
        <v>29</v>
      </c>
      <c r="F25" s="15">
        <v>28000</v>
      </c>
      <c r="G25" s="16">
        <v>6</v>
      </c>
      <c r="H25" s="13">
        <f t="shared" si="0"/>
        <v>18000</v>
      </c>
    </row>
    <row r="26" spans="1:8" x14ac:dyDescent="0.25">
      <c r="A26" s="7" t="s">
        <v>67</v>
      </c>
      <c r="B26" s="8">
        <v>9986553</v>
      </c>
      <c r="C26" s="7" t="s">
        <v>189</v>
      </c>
      <c r="D26" s="15">
        <v>24000</v>
      </c>
      <c r="E26" s="7" t="s">
        <v>30</v>
      </c>
      <c r="F26" s="15">
        <v>65000</v>
      </c>
      <c r="G26" s="16">
        <v>8</v>
      </c>
      <c r="H26" s="13">
        <f t="shared" si="0"/>
        <v>41000</v>
      </c>
    </row>
    <row r="27" spans="1:8" x14ac:dyDescent="0.25">
      <c r="A27" s="7" t="s">
        <v>68</v>
      </c>
      <c r="B27" s="8">
        <v>9986554</v>
      </c>
      <c r="C27" s="7" t="s">
        <v>190</v>
      </c>
      <c r="D27" s="15">
        <v>28000</v>
      </c>
      <c r="E27" s="7" t="s">
        <v>31</v>
      </c>
      <c r="F27" s="15">
        <v>65000</v>
      </c>
      <c r="G27" s="16">
        <v>15</v>
      </c>
      <c r="H27" s="13">
        <f t="shared" si="0"/>
        <v>37000</v>
      </c>
    </row>
    <row r="28" spans="1:8" x14ac:dyDescent="0.25">
      <c r="A28" s="7" t="s">
        <v>69</v>
      </c>
      <c r="B28" s="8">
        <v>9986555</v>
      </c>
      <c r="C28" s="7" t="s">
        <v>191</v>
      </c>
      <c r="D28" s="15">
        <v>22600</v>
      </c>
      <c r="E28" s="7" t="s">
        <v>32</v>
      </c>
      <c r="F28" s="15">
        <v>50000</v>
      </c>
      <c r="G28" s="16">
        <v>14</v>
      </c>
      <c r="H28" s="13">
        <f t="shared" si="0"/>
        <v>27400</v>
      </c>
    </row>
    <row r="29" spans="1:8" x14ac:dyDescent="0.25">
      <c r="A29" s="7" t="s">
        <v>70</v>
      </c>
      <c r="B29" s="8">
        <v>9986556</v>
      </c>
      <c r="C29" s="7" t="s">
        <v>192</v>
      </c>
      <c r="D29" s="15">
        <v>39200</v>
      </c>
      <c r="E29" s="7" t="s">
        <v>33</v>
      </c>
      <c r="F29" s="15">
        <v>75000</v>
      </c>
      <c r="G29" s="16">
        <v>6</v>
      </c>
      <c r="H29" s="13">
        <f t="shared" si="0"/>
        <v>35800</v>
      </c>
    </row>
    <row r="30" spans="1:8" x14ac:dyDescent="0.25">
      <c r="A30" s="7" t="s">
        <v>71</v>
      </c>
      <c r="B30" s="8">
        <v>9986557</v>
      </c>
      <c r="C30" s="7" t="s">
        <v>193</v>
      </c>
      <c r="D30" s="15">
        <v>32700</v>
      </c>
      <c r="E30" s="7" t="s">
        <v>34</v>
      </c>
      <c r="F30" s="15">
        <v>65000</v>
      </c>
      <c r="G30" s="16">
        <v>2</v>
      </c>
      <c r="H30" s="13">
        <f t="shared" si="0"/>
        <v>32300</v>
      </c>
    </row>
    <row r="31" spans="1:8" x14ac:dyDescent="0.25">
      <c r="A31" s="7" t="s">
        <v>72</v>
      </c>
      <c r="B31" s="8">
        <v>9986558</v>
      </c>
      <c r="C31" s="7" t="s">
        <v>194</v>
      </c>
      <c r="D31" s="15">
        <v>10700</v>
      </c>
      <c r="E31" s="7" t="s">
        <v>35</v>
      </c>
      <c r="F31" s="15">
        <v>35000</v>
      </c>
      <c r="G31" s="16">
        <v>3</v>
      </c>
      <c r="H31" s="13">
        <f t="shared" si="0"/>
        <v>24300</v>
      </c>
    </row>
    <row r="32" spans="1:8" x14ac:dyDescent="0.25">
      <c r="A32" s="7" t="s">
        <v>73</v>
      </c>
      <c r="B32" s="8">
        <v>9986559</v>
      </c>
      <c r="C32" s="7" t="s">
        <v>195</v>
      </c>
      <c r="D32" s="15">
        <v>7500</v>
      </c>
      <c r="E32" s="7" t="s">
        <v>36</v>
      </c>
      <c r="F32" s="15">
        <v>28000</v>
      </c>
      <c r="G32" s="16">
        <v>0</v>
      </c>
      <c r="H32" s="13">
        <f t="shared" si="0"/>
        <v>20500</v>
      </c>
    </row>
    <row r="33" spans="1:8" x14ac:dyDescent="0.25">
      <c r="A33" s="7" t="s">
        <v>74</v>
      </c>
      <c r="B33" s="8">
        <v>9986560</v>
      </c>
      <c r="C33" s="7" t="s">
        <v>196</v>
      </c>
      <c r="D33" s="15">
        <v>27500</v>
      </c>
      <c r="E33" s="7" t="s">
        <v>37</v>
      </c>
      <c r="F33" s="15">
        <v>65000</v>
      </c>
      <c r="G33" s="16">
        <v>5</v>
      </c>
      <c r="H33" s="13">
        <f t="shared" si="0"/>
        <v>37500</v>
      </c>
    </row>
    <row r="34" spans="1:8" x14ac:dyDescent="0.25">
      <c r="A34" s="7" t="s">
        <v>75</v>
      </c>
      <c r="B34" s="8">
        <v>9986561</v>
      </c>
      <c r="C34" s="7" t="s">
        <v>197</v>
      </c>
      <c r="D34" s="15">
        <v>22000</v>
      </c>
      <c r="E34" s="7" t="s">
        <v>39</v>
      </c>
      <c r="F34" s="15">
        <v>55000</v>
      </c>
      <c r="G34" s="16">
        <v>7</v>
      </c>
      <c r="H34" s="13">
        <f t="shared" si="0"/>
        <v>33000</v>
      </c>
    </row>
    <row r="35" spans="1:8" x14ac:dyDescent="0.25">
      <c r="A35" s="7" t="s">
        <v>76</v>
      </c>
      <c r="B35" s="8">
        <v>9986562</v>
      </c>
      <c r="C35" s="7" t="s">
        <v>263</v>
      </c>
      <c r="D35" s="15">
        <v>18250</v>
      </c>
      <c r="E35" s="7" t="s">
        <v>40</v>
      </c>
      <c r="F35" s="15">
        <v>45000</v>
      </c>
      <c r="G35" s="16">
        <v>5</v>
      </c>
      <c r="H35" s="13">
        <f t="shared" si="0"/>
        <v>26750</v>
      </c>
    </row>
    <row r="36" spans="1:8" x14ac:dyDescent="0.25">
      <c r="A36" s="7" t="s">
        <v>77</v>
      </c>
      <c r="B36" s="8">
        <v>9986563</v>
      </c>
      <c r="C36" s="7" t="s">
        <v>264</v>
      </c>
      <c r="D36" s="15">
        <v>15000</v>
      </c>
      <c r="E36" s="7" t="s">
        <v>38</v>
      </c>
      <c r="F36" s="15">
        <v>40000</v>
      </c>
      <c r="G36" s="16">
        <v>21</v>
      </c>
      <c r="H36" s="13">
        <f t="shared" si="0"/>
        <v>25000</v>
      </c>
    </row>
    <row r="37" spans="1:8" x14ac:dyDescent="0.25">
      <c r="A37" s="7" t="s">
        <v>78</v>
      </c>
      <c r="B37" s="8">
        <v>9986564</v>
      </c>
      <c r="C37" s="7" t="s">
        <v>198</v>
      </c>
      <c r="D37" s="15">
        <v>22500</v>
      </c>
      <c r="E37" s="7" t="s">
        <v>41</v>
      </c>
      <c r="F37" s="15">
        <v>65000</v>
      </c>
      <c r="G37" s="16">
        <v>9</v>
      </c>
      <c r="H37" s="13">
        <f t="shared" si="0"/>
        <v>42500</v>
      </c>
    </row>
    <row r="38" spans="1:8" x14ac:dyDescent="0.25">
      <c r="A38" s="7" t="s">
        <v>79</v>
      </c>
      <c r="B38" s="8">
        <v>9986565</v>
      </c>
      <c r="C38" s="7" t="s">
        <v>199</v>
      </c>
      <c r="D38" s="15">
        <v>26400</v>
      </c>
      <c r="E38" s="7" t="s">
        <v>42</v>
      </c>
      <c r="F38" s="15">
        <v>65000</v>
      </c>
      <c r="G38" s="16">
        <v>4</v>
      </c>
      <c r="H38" s="13">
        <f t="shared" si="0"/>
        <v>38600</v>
      </c>
    </row>
    <row r="39" spans="1:8" x14ac:dyDescent="0.25">
      <c r="A39" s="7" t="s">
        <v>80</v>
      </c>
      <c r="B39" s="8">
        <v>9986566</v>
      </c>
      <c r="C39" s="7" t="s">
        <v>200</v>
      </c>
      <c r="D39" s="15">
        <v>25000</v>
      </c>
      <c r="E39" s="7" t="s">
        <v>43</v>
      </c>
      <c r="F39" s="15">
        <v>65000</v>
      </c>
      <c r="G39" s="16">
        <v>4</v>
      </c>
      <c r="H39" s="13">
        <f t="shared" si="0"/>
        <v>40000</v>
      </c>
    </row>
    <row r="40" spans="1:8" x14ac:dyDescent="0.25">
      <c r="A40" s="7" t="s">
        <v>81</v>
      </c>
      <c r="B40" s="8">
        <v>9986567</v>
      </c>
      <c r="C40" s="7" t="s">
        <v>201</v>
      </c>
      <c r="D40" s="15">
        <v>60000</v>
      </c>
      <c r="E40" s="7" t="s">
        <v>44</v>
      </c>
      <c r="F40" s="15">
        <v>135000</v>
      </c>
      <c r="G40" s="16">
        <v>9</v>
      </c>
      <c r="H40" s="13">
        <f t="shared" si="0"/>
        <v>75000</v>
      </c>
    </row>
    <row r="41" spans="1:8" x14ac:dyDescent="0.25">
      <c r="A41" s="7" t="s">
        <v>82</v>
      </c>
      <c r="B41" s="8">
        <v>9986568</v>
      </c>
      <c r="C41" s="7" t="s">
        <v>202</v>
      </c>
      <c r="D41" s="15">
        <v>50000</v>
      </c>
      <c r="E41" s="7" t="s">
        <v>45</v>
      </c>
      <c r="F41" s="15">
        <v>100000</v>
      </c>
      <c r="G41" s="16">
        <v>1</v>
      </c>
      <c r="H41" s="13">
        <f t="shared" si="0"/>
        <v>50000</v>
      </c>
    </row>
    <row r="42" spans="1:8" x14ac:dyDescent="0.25">
      <c r="A42" s="7" t="s">
        <v>83</v>
      </c>
      <c r="B42" s="8">
        <v>9986569</v>
      </c>
      <c r="C42" s="7" t="s">
        <v>203</v>
      </c>
      <c r="D42" s="15">
        <v>40000</v>
      </c>
      <c r="E42" s="7" t="s">
        <v>46</v>
      </c>
      <c r="F42" s="15">
        <v>75000</v>
      </c>
      <c r="G42" s="16">
        <v>20</v>
      </c>
      <c r="H42" s="13">
        <f t="shared" si="0"/>
        <v>35000</v>
      </c>
    </row>
    <row r="43" spans="1:8" x14ac:dyDescent="0.25">
      <c r="A43" s="7" t="s">
        <v>111</v>
      </c>
      <c r="B43" s="8">
        <v>9986570</v>
      </c>
      <c r="C43" s="7" t="s">
        <v>204</v>
      </c>
      <c r="D43" s="15">
        <v>75000</v>
      </c>
      <c r="E43" s="7" t="s">
        <v>84</v>
      </c>
      <c r="F43" s="15">
        <v>145000</v>
      </c>
      <c r="G43" s="16">
        <v>4</v>
      </c>
      <c r="H43" s="13">
        <f t="shared" si="0"/>
        <v>70000</v>
      </c>
    </row>
    <row r="44" spans="1:8" x14ac:dyDescent="0.25">
      <c r="A44" s="7" t="s">
        <v>112</v>
      </c>
      <c r="B44" s="8">
        <v>9986571</v>
      </c>
      <c r="C44" s="7" t="s">
        <v>205</v>
      </c>
      <c r="D44" s="15">
        <v>71800</v>
      </c>
      <c r="E44" s="7" t="s">
        <v>85</v>
      </c>
      <c r="F44" s="15">
        <v>145000</v>
      </c>
      <c r="G44" s="16">
        <v>6</v>
      </c>
      <c r="H44" s="13">
        <f t="shared" si="0"/>
        <v>73200</v>
      </c>
    </row>
    <row r="45" spans="1:8" x14ac:dyDescent="0.25">
      <c r="A45" s="7" t="s">
        <v>113</v>
      </c>
      <c r="B45" s="8">
        <v>9986572</v>
      </c>
      <c r="C45" s="7" t="s">
        <v>206</v>
      </c>
      <c r="D45" s="15">
        <v>65000</v>
      </c>
      <c r="E45" s="7" t="s">
        <v>86</v>
      </c>
      <c r="F45" s="15">
        <v>135000</v>
      </c>
      <c r="G45" s="16">
        <v>5</v>
      </c>
      <c r="H45" s="13">
        <f t="shared" si="0"/>
        <v>70000</v>
      </c>
    </row>
    <row r="46" spans="1:8" x14ac:dyDescent="0.25">
      <c r="A46" s="7" t="s">
        <v>114</v>
      </c>
      <c r="B46" s="8">
        <v>9986573</v>
      </c>
      <c r="C46" s="7" t="s">
        <v>207</v>
      </c>
      <c r="D46" s="15">
        <v>62000</v>
      </c>
      <c r="E46" s="7" t="s">
        <v>87</v>
      </c>
      <c r="F46" s="15">
        <v>135000</v>
      </c>
      <c r="G46" s="16">
        <v>11</v>
      </c>
      <c r="H46" s="13">
        <f t="shared" si="0"/>
        <v>73000</v>
      </c>
    </row>
    <row r="47" spans="1:8" x14ac:dyDescent="0.25">
      <c r="A47" s="7" t="s">
        <v>115</v>
      </c>
      <c r="B47" s="8">
        <v>9986574</v>
      </c>
      <c r="C47" s="7" t="s">
        <v>208</v>
      </c>
      <c r="D47" s="15">
        <v>51500</v>
      </c>
      <c r="E47" s="7" t="s">
        <v>88</v>
      </c>
      <c r="F47" s="15">
        <v>135000</v>
      </c>
      <c r="G47" s="16">
        <v>2</v>
      </c>
      <c r="H47" s="13">
        <f t="shared" si="0"/>
        <v>83500</v>
      </c>
    </row>
    <row r="48" spans="1:8" x14ac:dyDescent="0.25">
      <c r="A48" s="7" t="s">
        <v>116</v>
      </c>
      <c r="B48" s="8">
        <v>9986575</v>
      </c>
      <c r="C48" s="7" t="s">
        <v>209</v>
      </c>
      <c r="D48" s="15">
        <v>55000</v>
      </c>
      <c r="E48" s="7" t="s">
        <v>89</v>
      </c>
      <c r="F48" s="15">
        <v>125000</v>
      </c>
      <c r="G48" s="16">
        <v>6</v>
      </c>
      <c r="H48" s="13">
        <f t="shared" si="0"/>
        <v>70000</v>
      </c>
    </row>
    <row r="49" spans="1:8" x14ac:dyDescent="0.25">
      <c r="A49" s="7" t="s">
        <v>117</v>
      </c>
      <c r="B49" s="8">
        <v>9986576</v>
      </c>
      <c r="C49" s="7" t="s">
        <v>210</v>
      </c>
      <c r="D49" s="15">
        <v>45000</v>
      </c>
      <c r="E49" s="7" t="s">
        <v>91</v>
      </c>
      <c r="F49" s="15">
        <v>85000</v>
      </c>
      <c r="G49" s="16">
        <v>3</v>
      </c>
      <c r="H49" s="13">
        <f t="shared" si="0"/>
        <v>40000</v>
      </c>
    </row>
    <row r="50" spans="1:8" x14ac:dyDescent="0.25">
      <c r="A50" s="7" t="s">
        <v>118</v>
      </c>
      <c r="B50" s="8">
        <v>9986577</v>
      </c>
      <c r="C50" s="7" t="s">
        <v>211</v>
      </c>
      <c r="D50" s="15">
        <v>38300</v>
      </c>
      <c r="E50" s="7" t="s">
        <v>92</v>
      </c>
      <c r="F50" s="15">
        <v>75000</v>
      </c>
      <c r="G50" s="16">
        <v>3</v>
      </c>
      <c r="H50" s="13">
        <f t="shared" si="0"/>
        <v>36700</v>
      </c>
    </row>
    <row r="51" spans="1:8" x14ac:dyDescent="0.25">
      <c r="A51" s="7" t="s">
        <v>119</v>
      </c>
      <c r="B51" s="8">
        <v>9986578</v>
      </c>
      <c r="C51" s="7" t="s">
        <v>212</v>
      </c>
      <c r="D51" s="15">
        <v>12000</v>
      </c>
      <c r="E51" s="7" t="s">
        <v>93</v>
      </c>
      <c r="F51" s="15">
        <v>38000</v>
      </c>
      <c r="G51" s="16">
        <v>24</v>
      </c>
      <c r="H51" s="13">
        <f t="shared" si="0"/>
        <v>26000</v>
      </c>
    </row>
    <row r="52" spans="1:8" x14ac:dyDescent="0.25">
      <c r="A52" s="7" t="s">
        <v>120</v>
      </c>
      <c r="B52" s="8">
        <v>9986579</v>
      </c>
      <c r="C52" s="7" t="s">
        <v>213</v>
      </c>
      <c r="D52" s="15">
        <v>10500</v>
      </c>
      <c r="E52" s="7" t="s">
        <v>94</v>
      </c>
      <c r="F52" s="15">
        <v>38000</v>
      </c>
      <c r="G52" s="16">
        <v>12</v>
      </c>
      <c r="H52" s="13">
        <f>F52-D52</f>
        <v>27500</v>
      </c>
    </row>
    <row r="53" spans="1:8" x14ac:dyDescent="0.25">
      <c r="A53" s="7" t="s">
        <v>121</v>
      </c>
      <c r="B53" s="8">
        <v>9986580</v>
      </c>
      <c r="C53" s="7" t="s">
        <v>214</v>
      </c>
      <c r="D53" s="15">
        <v>11500</v>
      </c>
      <c r="E53" s="7" t="s">
        <v>95</v>
      </c>
      <c r="F53" s="15">
        <v>30000</v>
      </c>
      <c r="G53" s="16">
        <v>14</v>
      </c>
      <c r="H53" s="13">
        <f t="shared" ref="H53:H81" si="1">F53-D53</f>
        <v>18500</v>
      </c>
    </row>
    <row r="54" spans="1:8" x14ac:dyDescent="0.25">
      <c r="A54" s="7" t="s">
        <v>122</v>
      </c>
      <c r="B54" s="8">
        <v>9986581</v>
      </c>
      <c r="C54" s="7" t="s">
        <v>215</v>
      </c>
      <c r="D54" s="15">
        <v>11500</v>
      </c>
      <c r="E54" s="7" t="s">
        <v>95</v>
      </c>
      <c r="F54" s="15">
        <v>30000</v>
      </c>
      <c r="G54" s="16">
        <v>13</v>
      </c>
      <c r="H54" s="13">
        <f t="shared" si="1"/>
        <v>18500</v>
      </c>
    </row>
    <row r="55" spans="1:8" x14ac:dyDescent="0.25">
      <c r="A55" s="7" t="s">
        <v>123</v>
      </c>
      <c r="B55" s="8">
        <v>9986582</v>
      </c>
      <c r="C55" s="7" t="s">
        <v>216</v>
      </c>
      <c r="D55" s="15">
        <v>11500</v>
      </c>
      <c r="E55" s="7" t="s">
        <v>95</v>
      </c>
      <c r="F55" s="15">
        <v>30000</v>
      </c>
      <c r="G55" s="16">
        <v>12</v>
      </c>
      <c r="H55" s="13">
        <f t="shared" si="1"/>
        <v>18500</v>
      </c>
    </row>
    <row r="56" spans="1:8" x14ac:dyDescent="0.25">
      <c r="A56" s="7" t="s">
        <v>124</v>
      </c>
      <c r="B56" s="8">
        <v>9986583</v>
      </c>
      <c r="C56" s="7" t="s">
        <v>217</v>
      </c>
      <c r="D56" s="15">
        <v>11500</v>
      </c>
      <c r="E56" s="7" t="s">
        <v>95</v>
      </c>
      <c r="F56" s="15">
        <v>30000</v>
      </c>
      <c r="G56" s="16">
        <v>8</v>
      </c>
      <c r="H56" s="13">
        <f t="shared" si="1"/>
        <v>18500</v>
      </c>
    </row>
    <row r="57" spans="1:8" x14ac:dyDescent="0.25">
      <c r="A57" s="7" t="s">
        <v>125</v>
      </c>
      <c r="B57" s="8">
        <v>9986584</v>
      </c>
      <c r="C57" s="7" t="s">
        <v>218</v>
      </c>
      <c r="D57" s="15">
        <v>3400</v>
      </c>
      <c r="E57" s="7" t="s">
        <v>97</v>
      </c>
      <c r="F57" s="15">
        <v>8000</v>
      </c>
      <c r="G57" s="16">
        <v>24</v>
      </c>
      <c r="H57" s="13">
        <f t="shared" si="1"/>
        <v>4600</v>
      </c>
    </row>
    <row r="58" spans="1:8" x14ac:dyDescent="0.25">
      <c r="A58" s="7" t="s">
        <v>126</v>
      </c>
      <c r="B58" s="8">
        <v>9986585</v>
      </c>
      <c r="C58" s="7" t="s">
        <v>219</v>
      </c>
      <c r="D58" s="15">
        <v>4050</v>
      </c>
      <c r="E58" s="7" t="s">
        <v>98</v>
      </c>
      <c r="F58" s="15">
        <v>8000</v>
      </c>
      <c r="G58" s="16">
        <v>60</v>
      </c>
      <c r="H58" s="13">
        <f t="shared" si="1"/>
        <v>3950</v>
      </c>
    </row>
    <row r="59" spans="1:8" x14ac:dyDescent="0.25">
      <c r="A59" s="7" t="s">
        <v>127</v>
      </c>
      <c r="B59" s="8">
        <v>9986586</v>
      </c>
      <c r="C59" s="7" t="s">
        <v>220</v>
      </c>
      <c r="D59" s="15">
        <v>5620</v>
      </c>
      <c r="E59" s="7" t="s">
        <v>99</v>
      </c>
      <c r="F59" s="15">
        <v>12000</v>
      </c>
      <c r="G59" s="16">
        <v>6</v>
      </c>
      <c r="H59" s="13">
        <f t="shared" si="1"/>
        <v>6380</v>
      </c>
    </row>
    <row r="60" spans="1:8" x14ac:dyDescent="0.25">
      <c r="A60" s="7" t="s">
        <v>128</v>
      </c>
      <c r="B60" s="8">
        <v>9986587</v>
      </c>
      <c r="C60" s="7" t="s">
        <v>221</v>
      </c>
      <c r="D60" s="15">
        <v>6500</v>
      </c>
      <c r="E60" s="7" t="s">
        <v>100</v>
      </c>
      <c r="F60" s="15">
        <v>15000</v>
      </c>
      <c r="G60" s="16">
        <v>30</v>
      </c>
      <c r="H60" s="13">
        <f t="shared" si="1"/>
        <v>8500</v>
      </c>
    </row>
    <row r="61" spans="1:8" x14ac:dyDescent="0.25">
      <c r="A61" s="7" t="s">
        <v>129</v>
      </c>
      <c r="B61" s="8">
        <v>9986588</v>
      </c>
      <c r="C61" s="7" t="s">
        <v>222</v>
      </c>
      <c r="D61" s="15">
        <v>57500</v>
      </c>
      <c r="E61" s="7" t="s">
        <v>101</v>
      </c>
      <c r="F61" s="15">
        <v>135000</v>
      </c>
      <c r="G61" s="16">
        <v>3</v>
      </c>
      <c r="H61" s="13">
        <f t="shared" si="1"/>
        <v>77500</v>
      </c>
    </row>
    <row r="62" spans="1:8" x14ac:dyDescent="0.25">
      <c r="A62" s="7" t="s">
        <v>130</v>
      </c>
      <c r="B62" s="8">
        <v>9986589</v>
      </c>
      <c r="C62" s="7" t="s">
        <v>223</v>
      </c>
      <c r="D62" s="15">
        <v>110000</v>
      </c>
      <c r="E62" s="7" t="s">
        <v>102</v>
      </c>
      <c r="F62" s="15">
        <v>175000</v>
      </c>
      <c r="G62" s="16">
        <v>1</v>
      </c>
      <c r="H62" s="13">
        <f t="shared" si="1"/>
        <v>65000</v>
      </c>
    </row>
    <row r="63" spans="1:8" x14ac:dyDescent="0.25">
      <c r="A63" s="7" t="s">
        <v>131</v>
      </c>
      <c r="B63" s="8">
        <v>9986590</v>
      </c>
      <c r="C63" s="7" t="s">
        <v>224</v>
      </c>
      <c r="D63" s="15">
        <v>30000</v>
      </c>
      <c r="E63" s="7" t="s">
        <v>103</v>
      </c>
      <c r="F63" s="15">
        <v>75000</v>
      </c>
      <c r="G63" s="16">
        <v>1</v>
      </c>
      <c r="H63" s="13">
        <f t="shared" si="1"/>
        <v>45000</v>
      </c>
    </row>
    <row r="64" spans="1:8" x14ac:dyDescent="0.25">
      <c r="A64" s="7" t="s">
        <v>132</v>
      </c>
      <c r="B64" s="8">
        <v>9986591</v>
      </c>
      <c r="C64" s="7" t="s">
        <v>225</v>
      </c>
      <c r="D64" s="15">
        <v>26500</v>
      </c>
      <c r="E64" s="7" t="s">
        <v>104</v>
      </c>
      <c r="F64" s="15">
        <v>65000</v>
      </c>
      <c r="G64" s="16">
        <v>1</v>
      </c>
      <c r="H64" s="13">
        <f t="shared" si="1"/>
        <v>38500</v>
      </c>
    </row>
    <row r="65" spans="1:8" x14ac:dyDescent="0.25">
      <c r="A65" s="7" t="s">
        <v>133</v>
      </c>
      <c r="B65" s="8">
        <v>9986592</v>
      </c>
      <c r="C65" s="7" t="s">
        <v>226</v>
      </c>
      <c r="D65" s="15">
        <v>88000</v>
      </c>
      <c r="E65" s="7" t="s">
        <v>105</v>
      </c>
      <c r="F65" s="15">
        <v>165000</v>
      </c>
      <c r="G65" s="16">
        <v>1</v>
      </c>
      <c r="H65" s="13">
        <f t="shared" si="1"/>
        <v>77000</v>
      </c>
    </row>
    <row r="66" spans="1:8" x14ac:dyDescent="0.25">
      <c r="A66" s="7" t="s">
        <v>134</v>
      </c>
      <c r="B66" s="8">
        <v>9986593</v>
      </c>
      <c r="C66" s="7" t="s">
        <v>227</v>
      </c>
      <c r="D66" s="15">
        <v>19200</v>
      </c>
      <c r="E66" s="7" t="s">
        <v>106</v>
      </c>
      <c r="F66" s="15">
        <v>45000</v>
      </c>
      <c r="G66" s="16">
        <v>1</v>
      </c>
      <c r="H66" s="13">
        <f t="shared" si="1"/>
        <v>25800</v>
      </c>
    </row>
    <row r="67" spans="1:8" x14ac:dyDescent="0.25">
      <c r="A67" s="7" t="s">
        <v>135</v>
      </c>
      <c r="B67" s="8">
        <v>9986594</v>
      </c>
      <c r="C67" s="7" t="s">
        <v>228</v>
      </c>
      <c r="D67" s="15">
        <v>24000</v>
      </c>
      <c r="E67" s="7" t="s">
        <v>107</v>
      </c>
      <c r="F67" s="15">
        <v>55000</v>
      </c>
      <c r="G67" s="16">
        <v>1</v>
      </c>
      <c r="H67" s="13">
        <f t="shared" si="1"/>
        <v>31000</v>
      </c>
    </row>
    <row r="68" spans="1:8" x14ac:dyDescent="0.25">
      <c r="A68" s="7" t="s">
        <v>136</v>
      </c>
      <c r="B68" s="8">
        <v>9986595</v>
      </c>
      <c r="C68" s="7" t="s">
        <v>229</v>
      </c>
      <c r="D68" s="15">
        <v>23000</v>
      </c>
      <c r="E68" s="7" t="s">
        <v>108</v>
      </c>
      <c r="F68" s="15">
        <v>35000</v>
      </c>
      <c r="G68" s="16">
        <v>36</v>
      </c>
      <c r="H68" s="13">
        <f t="shared" si="1"/>
        <v>12000</v>
      </c>
    </row>
    <row r="69" spans="1:8" x14ac:dyDescent="0.25">
      <c r="A69" s="7" t="s">
        <v>137</v>
      </c>
      <c r="B69" s="8">
        <v>9986596</v>
      </c>
      <c r="C69" s="7" t="s">
        <v>230</v>
      </c>
      <c r="D69" s="15">
        <v>16500</v>
      </c>
      <c r="E69" s="7" t="s">
        <v>109</v>
      </c>
      <c r="F69" s="15">
        <v>27000</v>
      </c>
      <c r="G69" s="16">
        <v>23</v>
      </c>
      <c r="H69" s="13">
        <f t="shared" si="1"/>
        <v>10500</v>
      </c>
    </row>
    <row r="70" spans="1:8" x14ac:dyDescent="0.25">
      <c r="A70" s="7" t="s">
        <v>138</v>
      </c>
      <c r="B70" s="8">
        <v>9986597</v>
      </c>
      <c r="C70" s="7" t="s">
        <v>231</v>
      </c>
      <c r="D70" s="15">
        <v>12000</v>
      </c>
      <c r="E70" s="7" t="s">
        <v>110</v>
      </c>
      <c r="F70" s="15">
        <v>25000</v>
      </c>
      <c r="G70" s="16">
        <v>18</v>
      </c>
      <c r="H70" s="13">
        <f t="shared" si="1"/>
        <v>13000</v>
      </c>
    </row>
    <row r="71" spans="1:8" x14ac:dyDescent="0.25">
      <c r="A71" s="7" t="s">
        <v>266</v>
      </c>
      <c r="B71" s="8">
        <v>6925543722421</v>
      </c>
      <c r="C71" s="7" t="s">
        <v>265</v>
      </c>
      <c r="D71" s="15">
        <v>18200</v>
      </c>
      <c r="E71" s="7" t="s">
        <v>324</v>
      </c>
      <c r="F71" s="15">
        <v>40000</v>
      </c>
      <c r="G71" s="16">
        <v>48</v>
      </c>
      <c r="H71" s="13">
        <f t="shared" si="1"/>
        <v>21800</v>
      </c>
    </row>
    <row r="72" spans="1:8" x14ac:dyDescent="0.25">
      <c r="A72" s="7" t="s">
        <v>297</v>
      </c>
      <c r="B72" s="8">
        <v>9986599</v>
      </c>
      <c r="C72" s="7" t="s">
        <v>189</v>
      </c>
      <c r="D72" s="15">
        <v>14500</v>
      </c>
      <c r="E72" s="7" t="s">
        <v>307</v>
      </c>
      <c r="F72" s="15">
        <v>65000</v>
      </c>
      <c r="G72" s="16">
        <v>2</v>
      </c>
      <c r="H72" s="13">
        <f t="shared" si="1"/>
        <v>50500</v>
      </c>
    </row>
    <row r="73" spans="1:8" x14ac:dyDescent="0.25">
      <c r="A73" s="7" t="s">
        <v>298</v>
      </c>
      <c r="B73" s="8">
        <v>9986600</v>
      </c>
      <c r="C73" s="7" t="s">
        <v>304</v>
      </c>
      <c r="D73" s="15">
        <v>13600</v>
      </c>
      <c r="E73" s="7" t="s">
        <v>308</v>
      </c>
      <c r="F73" s="15">
        <v>38000</v>
      </c>
      <c r="G73" s="16">
        <v>17</v>
      </c>
      <c r="H73" s="13">
        <f t="shared" si="1"/>
        <v>24400</v>
      </c>
    </row>
    <row r="74" spans="1:8" x14ac:dyDescent="0.25">
      <c r="A74" s="7" t="s">
        <v>299</v>
      </c>
      <c r="B74" s="8">
        <v>9986601</v>
      </c>
      <c r="C74" s="7" t="s">
        <v>305</v>
      </c>
      <c r="D74" s="15">
        <v>14100</v>
      </c>
      <c r="E74" s="7" t="s">
        <v>309</v>
      </c>
      <c r="F74" s="15">
        <v>35000</v>
      </c>
      <c r="G74" s="16">
        <v>10</v>
      </c>
      <c r="H74" s="13">
        <f t="shared" si="1"/>
        <v>20900</v>
      </c>
    </row>
    <row r="75" spans="1:8" x14ac:dyDescent="0.25">
      <c r="A75" s="7" t="s">
        <v>300</v>
      </c>
      <c r="B75" s="8">
        <v>9986603</v>
      </c>
      <c r="C75" s="7" t="s">
        <v>306</v>
      </c>
      <c r="D75" s="15">
        <v>30000</v>
      </c>
      <c r="E75" s="7" t="s">
        <v>310</v>
      </c>
      <c r="F75" s="15">
        <v>75000</v>
      </c>
      <c r="G75" s="16">
        <v>7</v>
      </c>
      <c r="H75" s="13">
        <f t="shared" si="1"/>
        <v>45000</v>
      </c>
    </row>
    <row r="76" spans="1:8" x14ac:dyDescent="0.25">
      <c r="A76" s="7" t="s">
        <v>301</v>
      </c>
      <c r="B76" s="8">
        <v>9986604</v>
      </c>
      <c r="C76" s="7" t="s">
        <v>312</v>
      </c>
      <c r="D76" s="15">
        <v>13500</v>
      </c>
      <c r="E76" s="7" t="s">
        <v>314</v>
      </c>
      <c r="F76" s="15">
        <v>40000</v>
      </c>
      <c r="G76" s="16">
        <v>54</v>
      </c>
      <c r="H76" s="13">
        <f t="shared" si="1"/>
        <v>26500</v>
      </c>
    </row>
    <row r="77" spans="1:8" x14ac:dyDescent="0.25">
      <c r="A77" s="7" t="s">
        <v>302</v>
      </c>
      <c r="B77" s="8">
        <v>9986605</v>
      </c>
      <c r="C77" s="7" t="s">
        <v>311</v>
      </c>
      <c r="D77" s="15">
        <v>12500</v>
      </c>
      <c r="E77" s="7" t="s">
        <v>163</v>
      </c>
      <c r="F77" s="15">
        <v>38000</v>
      </c>
      <c r="G77" s="16">
        <v>9</v>
      </c>
      <c r="H77" s="13">
        <f t="shared" si="1"/>
        <v>25500</v>
      </c>
    </row>
    <row r="78" spans="1:8" x14ac:dyDescent="0.25">
      <c r="A78" s="7" t="s">
        <v>303</v>
      </c>
      <c r="B78" s="8">
        <v>9986606</v>
      </c>
      <c r="C78" s="7" t="s">
        <v>313</v>
      </c>
      <c r="D78" s="15">
        <v>15000</v>
      </c>
      <c r="E78" s="7" t="s">
        <v>164</v>
      </c>
      <c r="F78" s="15">
        <v>40000</v>
      </c>
      <c r="G78" s="16">
        <v>12</v>
      </c>
      <c r="H78" s="13">
        <f t="shared" si="1"/>
        <v>25000</v>
      </c>
    </row>
    <row r="79" spans="1:8" x14ac:dyDescent="0.25">
      <c r="A79" s="7" t="s">
        <v>315</v>
      </c>
      <c r="B79" s="8">
        <v>9986607</v>
      </c>
      <c r="C79" s="7" t="s">
        <v>316</v>
      </c>
      <c r="D79" s="15">
        <v>17000</v>
      </c>
      <c r="E79" s="7" t="s">
        <v>317</v>
      </c>
      <c r="F79" s="15">
        <v>40000</v>
      </c>
      <c r="G79" s="16">
        <v>7</v>
      </c>
      <c r="H79" s="13">
        <f t="shared" si="1"/>
        <v>23000</v>
      </c>
    </row>
    <row r="80" spans="1:8" x14ac:dyDescent="0.25">
      <c r="A80" s="7" t="s">
        <v>319</v>
      </c>
      <c r="B80" s="8">
        <v>9986608</v>
      </c>
      <c r="C80" s="7" t="s">
        <v>318</v>
      </c>
      <c r="D80" s="15">
        <v>6150</v>
      </c>
      <c r="E80" s="7" t="s">
        <v>320</v>
      </c>
      <c r="F80" s="15">
        <v>20000</v>
      </c>
      <c r="G80" s="16">
        <v>24</v>
      </c>
      <c r="H80" s="13">
        <f t="shared" si="1"/>
        <v>13850</v>
      </c>
    </row>
    <row r="81" spans="1:8" x14ac:dyDescent="0.25">
      <c r="A81" s="7" t="s">
        <v>323</v>
      </c>
      <c r="B81" s="8">
        <v>9986609</v>
      </c>
      <c r="C81" s="7" t="s">
        <v>321</v>
      </c>
      <c r="D81" s="15">
        <v>7200</v>
      </c>
      <c r="E81" s="7" t="s">
        <v>322</v>
      </c>
      <c r="F81" s="15">
        <v>20000</v>
      </c>
      <c r="G81" s="16">
        <v>24</v>
      </c>
      <c r="H81" s="13">
        <f t="shared" si="1"/>
        <v>12800</v>
      </c>
    </row>
    <row r="82" spans="1:8" x14ac:dyDescent="0.25">
      <c r="A82" s="7"/>
      <c r="B82" s="8"/>
      <c r="C82" s="7"/>
      <c r="D82" s="15"/>
      <c r="E82" s="7"/>
      <c r="F82" s="15"/>
      <c r="G82" s="16"/>
    </row>
    <row r="83" spans="1:8" x14ac:dyDescent="0.25">
      <c r="A83" s="7"/>
      <c r="B83" s="8"/>
      <c r="C83" s="7"/>
      <c r="D83" s="15"/>
      <c r="E83" s="7"/>
      <c r="F83" s="15"/>
      <c r="G83" s="16"/>
    </row>
    <row r="84" spans="1:8" x14ac:dyDescent="0.25">
      <c r="A84" s="7"/>
      <c r="B84" s="8"/>
      <c r="C84" s="7"/>
      <c r="D84" s="15"/>
      <c r="E84" s="7"/>
      <c r="F84" s="15"/>
      <c r="G84" s="16"/>
    </row>
    <row r="85" spans="1:8" x14ac:dyDescent="0.25">
      <c r="A85" s="7"/>
      <c r="B85" s="8"/>
      <c r="C85" s="7"/>
      <c r="D85" s="15"/>
      <c r="E85" s="7"/>
      <c r="F85" s="15"/>
      <c r="G85" s="16"/>
    </row>
    <row r="86" spans="1:8" x14ac:dyDescent="0.25">
      <c r="A86" s="7"/>
      <c r="B86" s="8"/>
      <c r="C86" s="7"/>
      <c r="D86" s="15"/>
      <c r="E86" s="7"/>
      <c r="F86" s="15"/>
      <c r="G86" s="16"/>
    </row>
    <row r="87" spans="1:8" x14ac:dyDescent="0.25">
      <c r="A87" s="7"/>
      <c r="B87" s="8"/>
      <c r="C87" s="7"/>
      <c r="D87" s="15"/>
      <c r="E87" s="7"/>
      <c r="F87" s="15"/>
      <c r="G87" s="16"/>
    </row>
  </sheetData>
  <phoneticPr fontId="2" type="noConversion"/>
  <conditionalFormatting sqref="A3">
    <cfRule type="duplicateValues" dxfId="11" priority="3"/>
    <cfRule type="duplicateValues" dxfId="10" priority="6"/>
  </conditionalFormatting>
  <conditionalFormatting sqref="A1:B1048576">
    <cfRule type="duplicateValues" dxfId="9" priority="1"/>
  </conditionalFormatting>
  <conditionalFormatting sqref="B2:B3">
    <cfRule type="duplicateValues" dxfId="8" priority="2"/>
  </conditionalFormatting>
  <conditionalFormatting sqref="B3">
    <cfRule type="duplicateValues" dxfId="7" priority="4"/>
    <cfRule type="duplicateValues" dxfId="6" priority="5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93E4-3051-4E89-A2CF-CE7C40842BDD}">
  <dimension ref="A1:J35"/>
  <sheetViews>
    <sheetView workbookViewId="0">
      <pane ySplit="3" topLeftCell="A4" activePane="bottomLeft" state="frozen"/>
      <selection pane="bottomLeft" activeCell="J2" sqref="J2"/>
    </sheetView>
  </sheetViews>
  <sheetFormatPr defaultRowHeight="15" x14ac:dyDescent="0.25"/>
  <cols>
    <col min="1" max="1" width="11.42578125" customWidth="1"/>
    <col min="2" max="2" width="15.140625" style="1" customWidth="1"/>
    <col min="3" max="3" width="39" customWidth="1"/>
    <col min="4" max="4" width="12.140625" style="2" customWidth="1"/>
    <col min="5" max="5" width="11.140625" bestFit="1" customWidth="1"/>
    <col min="6" max="6" width="12.5703125" style="2" customWidth="1"/>
    <col min="7" max="7" width="9.140625" bestFit="1" customWidth="1"/>
    <col min="10" max="10" width="12.42578125" customWidth="1"/>
    <col min="11" max="11" width="14.42578125" customWidth="1"/>
  </cols>
  <sheetData>
    <row r="1" spans="1:10" x14ac:dyDescent="0.25">
      <c r="C1" s="10" t="s">
        <v>139</v>
      </c>
      <c r="H1">
        <v>9</v>
      </c>
    </row>
    <row r="2" spans="1:10" x14ac:dyDescent="0.25">
      <c r="H2">
        <v>24</v>
      </c>
      <c r="J2" s="3"/>
    </row>
    <row r="3" spans="1:10" ht="20.100000000000001" customHeight="1" x14ac:dyDescent="0.25">
      <c r="A3" s="4" t="s">
        <v>0</v>
      </c>
      <c r="B3" s="5" t="s">
        <v>1</v>
      </c>
      <c r="C3" s="4" t="s">
        <v>2</v>
      </c>
      <c r="D3" s="6" t="s">
        <v>3</v>
      </c>
      <c r="E3" s="4" t="s">
        <v>4</v>
      </c>
      <c r="F3" s="6" t="s">
        <v>5</v>
      </c>
      <c r="G3" s="4" t="s">
        <v>6</v>
      </c>
      <c r="H3">
        <f>SUM(H1:H2)</f>
        <v>33</v>
      </c>
      <c r="J3" s="11"/>
    </row>
    <row r="4" spans="1:10" x14ac:dyDescent="0.25">
      <c r="A4" s="7" t="s">
        <v>267</v>
      </c>
      <c r="B4" s="8">
        <v>6936739813</v>
      </c>
      <c r="C4" s="7" t="s">
        <v>232</v>
      </c>
      <c r="D4" s="9">
        <v>61000</v>
      </c>
      <c r="E4" s="7" t="s">
        <v>140</v>
      </c>
      <c r="F4" s="9">
        <v>145000</v>
      </c>
      <c r="G4" s="7">
        <v>6</v>
      </c>
    </row>
    <row r="5" spans="1:10" x14ac:dyDescent="0.25">
      <c r="A5" s="7" t="s">
        <v>268</v>
      </c>
      <c r="B5" s="8">
        <v>6936739814</v>
      </c>
      <c r="C5" s="7" t="s">
        <v>233</v>
      </c>
      <c r="D5" s="9">
        <v>41500</v>
      </c>
      <c r="E5" s="7" t="s">
        <v>141</v>
      </c>
      <c r="F5" s="9">
        <v>100000</v>
      </c>
      <c r="G5" s="7">
        <v>4</v>
      </c>
    </row>
    <row r="6" spans="1:10" x14ac:dyDescent="0.25">
      <c r="A6" s="7" t="s">
        <v>269</v>
      </c>
      <c r="B6" s="8">
        <v>6936739815</v>
      </c>
      <c r="C6" s="7" t="s">
        <v>234</v>
      </c>
      <c r="D6" s="9">
        <v>73000</v>
      </c>
      <c r="E6" s="7" t="s">
        <v>142</v>
      </c>
      <c r="F6" s="9">
        <v>150000</v>
      </c>
      <c r="G6" s="7">
        <v>3</v>
      </c>
    </row>
    <row r="7" spans="1:10" x14ac:dyDescent="0.25">
      <c r="A7" s="7" t="s">
        <v>270</v>
      </c>
      <c r="B7" s="8">
        <v>6936739816</v>
      </c>
      <c r="C7" s="7" t="s">
        <v>235</v>
      </c>
      <c r="D7" s="9">
        <v>61000</v>
      </c>
      <c r="E7" s="7" t="s">
        <v>140</v>
      </c>
      <c r="F7" s="9">
        <v>135000</v>
      </c>
      <c r="G7" s="7">
        <v>4</v>
      </c>
    </row>
    <row r="8" spans="1:10" x14ac:dyDescent="0.25">
      <c r="A8" s="7" t="s">
        <v>271</v>
      </c>
      <c r="B8" s="8">
        <v>6936739817</v>
      </c>
      <c r="C8" s="7" t="s">
        <v>236</v>
      </c>
      <c r="D8" s="9">
        <v>37000</v>
      </c>
      <c r="E8" s="7" t="s">
        <v>143</v>
      </c>
      <c r="F8" s="9">
        <v>75000</v>
      </c>
      <c r="G8" s="7">
        <v>29</v>
      </c>
    </row>
    <row r="9" spans="1:10" x14ac:dyDescent="0.25">
      <c r="A9" s="7" t="s">
        <v>272</v>
      </c>
      <c r="B9" s="8">
        <v>6936739818</v>
      </c>
      <c r="C9" s="7" t="s">
        <v>237</v>
      </c>
      <c r="D9" s="9">
        <v>26250</v>
      </c>
      <c r="E9" s="7" t="s">
        <v>144</v>
      </c>
      <c r="F9" s="9">
        <v>55000</v>
      </c>
      <c r="G9" s="7">
        <v>33</v>
      </c>
    </row>
    <row r="10" spans="1:10" x14ac:dyDescent="0.25">
      <c r="A10" s="7" t="s">
        <v>273</v>
      </c>
      <c r="B10" s="8">
        <v>6936739819</v>
      </c>
      <c r="C10" s="7" t="s">
        <v>238</v>
      </c>
      <c r="D10" s="9">
        <v>28000</v>
      </c>
      <c r="E10" s="7" t="s">
        <v>145</v>
      </c>
      <c r="F10" s="9">
        <v>75000</v>
      </c>
      <c r="G10" s="7">
        <v>7</v>
      </c>
    </row>
    <row r="11" spans="1:10" x14ac:dyDescent="0.25">
      <c r="A11" s="7" t="s">
        <v>274</v>
      </c>
      <c r="B11" s="8">
        <v>6936739820</v>
      </c>
      <c r="C11" s="7" t="s">
        <v>239</v>
      </c>
      <c r="D11" s="9">
        <v>22500</v>
      </c>
      <c r="E11" s="7" t="s">
        <v>146</v>
      </c>
      <c r="F11" s="9">
        <v>55000</v>
      </c>
      <c r="G11" s="7">
        <v>3</v>
      </c>
    </row>
    <row r="12" spans="1:10" x14ac:dyDescent="0.25">
      <c r="A12" s="7" t="s">
        <v>275</v>
      </c>
      <c r="B12" s="8">
        <v>6936739821</v>
      </c>
      <c r="C12" s="7" t="s">
        <v>240</v>
      </c>
      <c r="D12" s="9">
        <v>2300</v>
      </c>
      <c r="E12" s="7" t="s">
        <v>147</v>
      </c>
      <c r="F12" s="9">
        <v>55000</v>
      </c>
      <c r="G12" s="7">
        <v>13</v>
      </c>
    </row>
    <row r="13" spans="1:10" x14ac:dyDescent="0.25">
      <c r="A13" s="7" t="s">
        <v>276</v>
      </c>
      <c r="B13" s="8">
        <v>6936739822</v>
      </c>
      <c r="C13" s="7" t="s">
        <v>241</v>
      </c>
      <c r="D13" s="9">
        <v>50000</v>
      </c>
      <c r="E13" s="7" t="s">
        <v>148</v>
      </c>
      <c r="F13" s="9">
        <v>125000</v>
      </c>
      <c r="G13" s="7">
        <v>4</v>
      </c>
    </row>
    <row r="14" spans="1:10" x14ac:dyDescent="0.25">
      <c r="A14" s="7" t="s">
        <v>277</v>
      </c>
      <c r="B14" s="8">
        <v>6936739823</v>
      </c>
      <c r="C14" s="7" t="s">
        <v>242</v>
      </c>
      <c r="D14" s="9">
        <v>16500</v>
      </c>
      <c r="E14" s="7" t="s">
        <v>149</v>
      </c>
      <c r="F14" s="9">
        <v>45000</v>
      </c>
      <c r="G14" s="7">
        <v>13</v>
      </c>
    </row>
    <row r="15" spans="1:10" x14ac:dyDescent="0.25">
      <c r="A15" s="7" t="s">
        <v>278</v>
      </c>
      <c r="B15" s="8">
        <v>6936739824</v>
      </c>
      <c r="C15" s="7" t="s">
        <v>243</v>
      </c>
      <c r="D15" s="9">
        <v>38500</v>
      </c>
      <c r="E15" s="7" t="s">
        <v>150</v>
      </c>
      <c r="F15" s="9">
        <v>65000</v>
      </c>
      <c r="G15" s="7">
        <v>21</v>
      </c>
    </row>
    <row r="16" spans="1:10" x14ac:dyDescent="0.25">
      <c r="A16" s="7" t="s">
        <v>279</v>
      </c>
      <c r="B16" s="8">
        <v>6936739825</v>
      </c>
      <c r="C16" s="7" t="s">
        <v>244</v>
      </c>
      <c r="D16" s="9">
        <v>43000</v>
      </c>
      <c r="E16" s="7" t="s">
        <v>151</v>
      </c>
      <c r="F16" s="9">
        <v>85000</v>
      </c>
      <c r="G16" s="7">
        <v>5</v>
      </c>
    </row>
    <row r="17" spans="1:7" x14ac:dyDescent="0.25">
      <c r="A17" s="7" t="s">
        <v>280</v>
      </c>
      <c r="B17" s="8">
        <v>6936739826</v>
      </c>
      <c r="C17" s="7" t="s">
        <v>245</v>
      </c>
      <c r="D17" s="9">
        <v>52000</v>
      </c>
      <c r="E17" s="7" t="s">
        <v>152</v>
      </c>
      <c r="F17" s="9">
        <v>135000</v>
      </c>
      <c r="G17" s="7">
        <v>2</v>
      </c>
    </row>
    <row r="18" spans="1:7" x14ac:dyDescent="0.25">
      <c r="A18" s="7" t="s">
        <v>281</v>
      </c>
      <c r="B18" s="8">
        <v>6936739827</v>
      </c>
      <c r="C18" s="7" t="s">
        <v>246</v>
      </c>
      <c r="D18" s="9">
        <v>82500</v>
      </c>
      <c r="E18" s="7" t="s">
        <v>153</v>
      </c>
      <c r="F18" s="9">
        <v>150000</v>
      </c>
      <c r="G18" s="7">
        <v>2</v>
      </c>
    </row>
    <row r="19" spans="1:7" x14ac:dyDescent="0.25">
      <c r="A19" s="7" t="s">
        <v>282</v>
      </c>
      <c r="B19" s="8">
        <v>6936739828</v>
      </c>
      <c r="C19" s="7" t="s">
        <v>247</v>
      </c>
      <c r="D19" s="9">
        <v>62000</v>
      </c>
      <c r="E19" s="7" t="s">
        <v>154</v>
      </c>
      <c r="F19" s="9">
        <v>150000</v>
      </c>
      <c r="G19" s="7">
        <v>3</v>
      </c>
    </row>
    <row r="20" spans="1:7" x14ac:dyDescent="0.25">
      <c r="A20" s="7" t="s">
        <v>283</v>
      </c>
      <c r="B20" s="8">
        <v>6936739829</v>
      </c>
      <c r="C20" s="7" t="s">
        <v>248</v>
      </c>
      <c r="D20" s="9">
        <v>71300</v>
      </c>
      <c r="E20" s="7" t="s">
        <v>155</v>
      </c>
      <c r="F20" s="9">
        <v>175000</v>
      </c>
      <c r="G20" s="7">
        <v>4</v>
      </c>
    </row>
    <row r="21" spans="1:7" x14ac:dyDescent="0.25">
      <c r="A21" s="7" t="s">
        <v>284</v>
      </c>
      <c r="B21" s="8">
        <v>6936739830</v>
      </c>
      <c r="C21" s="7" t="s">
        <v>249</v>
      </c>
      <c r="D21" s="9">
        <v>42000</v>
      </c>
      <c r="E21" s="7" t="s">
        <v>156</v>
      </c>
      <c r="F21" s="9">
        <v>125000</v>
      </c>
      <c r="G21" s="7">
        <v>7</v>
      </c>
    </row>
    <row r="22" spans="1:7" x14ac:dyDescent="0.25">
      <c r="A22" s="7" t="s">
        <v>285</v>
      </c>
      <c r="B22" s="8">
        <v>6936739831</v>
      </c>
      <c r="C22" s="7" t="s">
        <v>250</v>
      </c>
      <c r="D22" s="9">
        <v>34500</v>
      </c>
      <c r="E22" s="7" t="s">
        <v>157</v>
      </c>
      <c r="F22" s="9">
        <v>65000</v>
      </c>
      <c r="G22" s="7">
        <v>2</v>
      </c>
    </row>
    <row r="23" spans="1:7" x14ac:dyDescent="0.25">
      <c r="A23" s="7" t="s">
        <v>286</v>
      </c>
      <c r="B23" s="8">
        <v>6936739832</v>
      </c>
      <c r="C23" s="7" t="s">
        <v>251</v>
      </c>
      <c r="D23" s="9">
        <v>27500</v>
      </c>
      <c r="E23" s="7" t="s">
        <v>158</v>
      </c>
      <c r="F23" s="9">
        <v>55000</v>
      </c>
      <c r="G23" s="7">
        <v>1</v>
      </c>
    </row>
    <row r="24" spans="1:7" x14ac:dyDescent="0.25">
      <c r="A24" s="7" t="s">
        <v>287</v>
      </c>
      <c r="B24" s="8">
        <v>6936739833</v>
      </c>
      <c r="C24" s="7" t="s">
        <v>252</v>
      </c>
      <c r="D24" s="9">
        <v>11400</v>
      </c>
      <c r="E24" s="7" t="s">
        <v>159</v>
      </c>
      <c r="F24" s="9">
        <v>35000</v>
      </c>
      <c r="G24" s="7">
        <v>4</v>
      </c>
    </row>
    <row r="25" spans="1:7" x14ac:dyDescent="0.25">
      <c r="A25" s="7" t="s">
        <v>288</v>
      </c>
      <c r="B25" s="8">
        <v>6936739834</v>
      </c>
      <c r="C25" s="7" t="s">
        <v>253</v>
      </c>
      <c r="D25" s="9">
        <v>24500</v>
      </c>
      <c r="E25" s="7" t="s">
        <v>160</v>
      </c>
      <c r="F25" s="9">
        <v>50000</v>
      </c>
      <c r="G25" s="7">
        <v>5</v>
      </c>
    </row>
    <row r="26" spans="1:7" x14ac:dyDescent="0.25">
      <c r="A26" s="7" t="s">
        <v>289</v>
      </c>
      <c r="B26" s="8">
        <v>6936739835</v>
      </c>
      <c r="C26" s="12" t="s">
        <v>254</v>
      </c>
      <c r="D26" s="9">
        <v>8000</v>
      </c>
      <c r="E26" s="7" t="s">
        <v>161</v>
      </c>
      <c r="F26" s="9">
        <v>28000</v>
      </c>
      <c r="G26" s="7">
        <v>6</v>
      </c>
    </row>
    <row r="27" spans="1:7" x14ac:dyDescent="0.25">
      <c r="A27" s="7" t="s">
        <v>290</v>
      </c>
      <c r="B27" s="8">
        <v>6936739836</v>
      </c>
      <c r="C27" s="7" t="s">
        <v>255</v>
      </c>
      <c r="D27" s="9">
        <v>21000</v>
      </c>
      <c r="E27" s="7" t="s">
        <v>162</v>
      </c>
      <c r="F27" s="9">
        <v>55000</v>
      </c>
      <c r="G27" s="7">
        <v>7</v>
      </c>
    </row>
    <row r="28" spans="1:7" x14ac:dyDescent="0.25">
      <c r="A28" s="7" t="s">
        <v>291</v>
      </c>
      <c r="B28" s="8">
        <v>6936739837</v>
      </c>
      <c r="C28" s="7" t="s">
        <v>256</v>
      </c>
      <c r="D28" s="9">
        <v>12500</v>
      </c>
      <c r="E28" s="7" t="s">
        <v>163</v>
      </c>
      <c r="F28" s="9">
        <v>38000</v>
      </c>
      <c r="G28" s="7">
        <v>63</v>
      </c>
    </row>
    <row r="29" spans="1:7" x14ac:dyDescent="0.25">
      <c r="A29" s="7" t="s">
        <v>292</v>
      </c>
      <c r="B29" s="8">
        <v>6936739838</v>
      </c>
      <c r="C29" s="7" t="s">
        <v>257</v>
      </c>
      <c r="D29" s="9">
        <v>15000</v>
      </c>
      <c r="E29" s="7" t="s">
        <v>164</v>
      </c>
      <c r="F29" s="9">
        <v>40000</v>
      </c>
      <c r="G29" s="7">
        <v>12</v>
      </c>
    </row>
    <row r="30" spans="1:7" x14ac:dyDescent="0.25">
      <c r="A30" s="7" t="s">
        <v>293</v>
      </c>
      <c r="B30" s="8">
        <v>6936739839</v>
      </c>
      <c r="C30" s="7" t="s">
        <v>258</v>
      </c>
      <c r="D30" s="9">
        <v>23400</v>
      </c>
      <c r="E30" s="7" t="s">
        <v>165</v>
      </c>
      <c r="F30" s="9">
        <v>45000</v>
      </c>
      <c r="G30" s="7">
        <v>18</v>
      </c>
    </row>
    <row r="31" spans="1:7" x14ac:dyDescent="0.25">
      <c r="A31" s="7" t="s">
        <v>294</v>
      </c>
      <c r="B31" s="8">
        <v>6936739840</v>
      </c>
      <c r="C31" s="7" t="s">
        <v>259</v>
      </c>
      <c r="D31" s="9">
        <v>45600</v>
      </c>
      <c r="E31" s="7" t="s">
        <v>166</v>
      </c>
      <c r="F31" s="9">
        <v>85000</v>
      </c>
      <c r="G31" s="7">
        <v>2</v>
      </c>
    </row>
    <row r="32" spans="1:7" x14ac:dyDescent="0.25">
      <c r="A32" s="7" t="s">
        <v>295</v>
      </c>
      <c r="B32" s="8">
        <v>6936739841</v>
      </c>
      <c r="C32" s="7" t="s">
        <v>260</v>
      </c>
      <c r="D32" s="9">
        <v>23500</v>
      </c>
      <c r="E32" s="7" t="s">
        <v>167</v>
      </c>
      <c r="F32" s="9">
        <v>55000</v>
      </c>
      <c r="G32" s="7">
        <v>2</v>
      </c>
    </row>
    <row r="33" spans="1:7" x14ac:dyDescent="0.25">
      <c r="A33" s="7" t="s">
        <v>296</v>
      </c>
      <c r="B33" s="8">
        <v>6936739842</v>
      </c>
      <c r="C33" s="7" t="s">
        <v>261</v>
      </c>
      <c r="D33" s="9">
        <v>93000</v>
      </c>
      <c r="E33" s="7" t="s">
        <v>90</v>
      </c>
      <c r="F33" s="9">
        <v>175000</v>
      </c>
      <c r="G33" s="7">
        <v>2</v>
      </c>
    </row>
    <row r="34" spans="1:7" x14ac:dyDescent="0.25">
      <c r="A34" s="7"/>
      <c r="B34" s="8"/>
      <c r="C34" s="7"/>
      <c r="D34" s="9"/>
      <c r="E34" s="7"/>
      <c r="F34" s="9"/>
      <c r="G34" s="7"/>
    </row>
    <row r="35" spans="1:7" x14ac:dyDescent="0.25">
      <c r="A35" s="7"/>
      <c r="B35" s="8"/>
      <c r="C35" s="7"/>
      <c r="D35" s="9"/>
      <c r="E35" s="7"/>
      <c r="F35" s="9"/>
      <c r="G35" s="7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A1:B1048576">
    <cfRule type="duplicateValues" dxfId="3" priority="1"/>
  </conditionalFormatting>
  <conditionalFormatting sqref="B2:B3">
    <cfRule type="duplicateValues" dxfId="2" priority="2"/>
  </conditionalFormatting>
  <conditionalFormatting sqref="B3">
    <cfRule type="duplicateValues" dxfId="1" priority="4"/>
    <cfRule type="duplicateValues" dxfId="0" priority="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Baru</vt:lpstr>
      <vt:lpstr>Sheet1</vt:lpstr>
      <vt:lpstr>Bar.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2026-05-03T07:30:16Z</dcterms:modified>
</cp:coreProperties>
</file>