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96FA1537-14FB-4EFA-8C16-6C60B9696B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ru" sheetId="13" r:id="rId1"/>
    <sheet name="Yuta" sheetId="4" r:id="rId2"/>
    <sheet name="Unnu" sheetId="5" r:id="rId3"/>
    <sheet name="Onda" sheetId="6" r:id="rId4"/>
    <sheet name="Norgen" sheetId="7" r:id="rId5"/>
    <sheet name="Campur" sheetId="10" r:id="rId6"/>
    <sheet name="Kompresor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16ZGcEkRi3f/gZIUf4+KKHkNx+FoTNgLIx48N9u5OxY="/>
    </ext>
  </extLst>
</workbook>
</file>

<file path=xl/calcChain.xml><?xml version="1.0" encoding="utf-8"?>
<calcChain xmlns="http://schemas.openxmlformats.org/spreadsheetml/2006/main">
  <c r="H11" i="13" l="1"/>
  <c r="H10" i="13"/>
  <c r="H9" i="13"/>
  <c r="H8" i="13"/>
  <c r="H18" i="4"/>
  <c r="H19" i="4"/>
  <c r="H20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4" i="4"/>
  <c r="H7" i="13"/>
  <c r="H5" i="13"/>
  <c r="H6" i="13"/>
  <c r="H4" i="13"/>
  <c r="H4" i="1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11BE80F4-B68E-417A-97D0-41360549B99C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50C30BD7-4AD1-4718-A60F-10EA70043927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1A745997-6AD0-4CCD-BEB2-175DA95E420B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7FB58029-B971-46A9-8C79-B058159643E4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9A7BCF0C-6502-4CB9-9D56-C5F64E46612D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1079D0C0-A08F-4856-814D-865A9BB5A01B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E372CC75-619A-4496-8318-70EC7FE2226F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<sst xmlns="http://schemas.openxmlformats.org/spreadsheetml/2006/main" count="254" uniqueCount="203">
  <si>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</si>
  <si>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</si>
  <si>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</si>
  <si>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</si>
  <si>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</si>
  <si>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</si>
  <si>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</si>
  <si>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</si>
  <si>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TQ-SBA</t>
  </si>
  <si>
    <t>UX-LJS</t>
  </si>
  <si>
    <t>VV-SMK</t>
  </si>
  <si>
    <t>UV-SMK</t>
  </si>
  <si>
    <t>XZ-DL</t>
  </si>
  <si>
    <t>WT-SMK</t>
  </si>
  <si>
    <t>QZU-JLT</t>
  </si>
  <si>
    <t>QZWU-JM</t>
  </si>
  <si>
    <t>QU-SCM</t>
  </si>
  <si>
    <t>QWX-SMK</t>
  </si>
  <si>
    <t>RU-SCM</t>
  </si>
  <si>
    <t>RZS-BUA</t>
  </si>
  <si>
    <t>QWU-JT</t>
  </si>
  <si>
    <t>RZ-SBA</t>
  </si>
  <si>
    <t>SS-BB</t>
  </si>
  <si>
    <t>SXS-SCM</t>
  </si>
  <si>
    <t>SQ-PR</t>
  </si>
  <si>
    <t>RW-JT</t>
  </si>
  <si>
    <t>Kran1</t>
  </si>
  <si>
    <t>Kran2</t>
  </si>
  <si>
    <t>Kran3</t>
  </si>
  <si>
    <t>Kran4</t>
  </si>
  <si>
    <t>Kran5</t>
  </si>
  <si>
    <t>Kran6</t>
  </si>
  <si>
    <t>Kran7</t>
  </si>
  <si>
    <t>Kran8</t>
  </si>
  <si>
    <t>Kran9</t>
  </si>
  <si>
    <t>Kran10</t>
  </si>
  <si>
    <t>Kran11</t>
  </si>
  <si>
    <t>Kran12</t>
  </si>
  <si>
    <t>Kran13</t>
  </si>
  <si>
    <t>Kran14</t>
  </si>
  <si>
    <t>Kran15</t>
  </si>
  <si>
    <t>Kran16</t>
  </si>
  <si>
    <t>Kran17</t>
  </si>
  <si>
    <t>Kran18</t>
  </si>
  <si>
    <t>Kran19</t>
  </si>
  <si>
    <t>Kran20</t>
  </si>
  <si>
    <t>Kran21</t>
  </si>
  <si>
    <t>Kran22</t>
  </si>
  <si>
    <t>Kran23</t>
  </si>
  <si>
    <t>KRAN AIR</t>
  </si>
  <si>
    <t>Kran Air Bibcock BCB 1/2 Yuta</t>
  </si>
  <si>
    <t>Kran Air Bibcock BCB 3/4 Yuta</t>
  </si>
  <si>
    <t>Kran Air Air BCBM 1/2 Yuta</t>
  </si>
  <si>
    <t>Kran Air Air BCBS 1/2 Yuta</t>
  </si>
  <si>
    <t>Kran Air BCS Yuta 1/2</t>
  </si>
  <si>
    <t>Kran Air BCOH 1/2 Yuta</t>
  </si>
  <si>
    <t>Kran Air BAMHW 1/2 Yuta</t>
  </si>
  <si>
    <t>Basin Tap TBAC Yuta</t>
  </si>
  <si>
    <t>Kran Air BALC Yuta</t>
  </si>
  <si>
    <t>Kran Air BLLF Yuta</t>
  </si>
  <si>
    <t>Kran Air BSLF Yuta</t>
  </si>
  <si>
    <t>Kran Air Cabang TDAHC Yuta</t>
  </si>
  <si>
    <t>RSV-SCM</t>
  </si>
  <si>
    <t>RYS-SCM</t>
  </si>
  <si>
    <t>ST-SCM</t>
  </si>
  <si>
    <t>UXV-SCM</t>
  </si>
  <si>
    <t>QYU-SCM</t>
  </si>
  <si>
    <t>TQ-SCM</t>
  </si>
  <si>
    <t>TR-SCM</t>
  </si>
  <si>
    <t>WWU-SCM</t>
  </si>
  <si>
    <t>WU-SCM</t>
  </si>
  <si>
    <t>VUW-SCM</t>
  </si>
  <si>
    <t>RV-SCM</t>
  </si>
  <si>
    <t>KRAN YUTA</t>
  </si>
  <si>
    <t>KRAN UNNU</t>
  </si>
  <si>
    <t>Kran Tembok Unnu GTB-02 1/2 "</t>
  </si>
  <si>
    <t>Kran Tembok Unnu GTB-01 1/2 "</t>
  </si>
  <si>
    <t>Kran Tembok Unnu GT-04 1/2 "</t>
  </si>
  <si>
    <t>Kran Tembok Unnu GT-03 1/2 "</t>
  </si>
  <si>
    <t>Kran Tembok Unnu GTA-01 1/2 "</t>
  </si>
  <si>
    <t>Kran Tembok Unnu GTP-01 1/2 "</t>
  </si>
  <si>
    <t>Kran Dapur Unnu KTA 01 1/2"</t>
  </si>
  <si>
    <t>Kran Dapur Unnu KT 01 1/2"</t>
  </si>
  <si>
    <t>RTU-PR</t>
  </si>
  <si>
    <t>QX-TRI</t>
  </si>
  <si>
    <t>QYU-TRI</t>
  </si>
  <si>
    <t>QU-PR</t>
  </si>
  <si>
    <t>TVU-PR</t>
  </si>
  <si>
    <t>WX-TRI</t>
  </si>
  <si>
    <t>Unnu1</t>
  </si>
  <si>
    <t>Unnu2</t>
  </si>
  <si>
    <t>Unnu3</t>
  </si>
  <si>
    <t>Unnu4</t>
  </si>
  <si>
    <t>Unnu5</t>
  </si>
  <si>
    <t>Unnu6</t>
  </si>
  <si>
    <t>Unnu7</t>
  </si>
  <si>
    <t>Unnu8</t>
  </si>
  <si>
    <t>KRAN ONDA</t>
  </si>
  <si>
    <t>Kran Tembok Onda BM 1/2"</t>
  </si>
  <si>
    <t>Kran Tembok Onda Blue Fresh 1/2"</t>
  </si>
  <si>
    <t>RSU-BM</t>
  </si>
  <si>
    <t>Onda1</t>
  </si>
  <si>
    <t>Onda2</t>
  </si>
  <si>
    <t>KRAN NORGEN</t>
  </si>
  <si>
    <t>Kran Air Norgen NG 005 1/2"</t>
  </si>
  <si>
    <t>Kran Air Norgen NG 002 1/2"</t>
  </si>
  <si>
    <t>Kran Air Norgen NG 006 1/2"</t>
  </si>
  <si>
    <t>Kran Air Norgen NG 003 1/2"</t>
  </si>
  <si>
    <t>SZ-JT</t>
  </si>
  <si>
    <t>RQ-JT</t>
  </si>
  <si>
    <t>Nor1</t>
  </si>
  <si>
    <t>Nor2</t>
  </si>
  <si>
    <t>Nor3</t>
  </si>
  <si>
    <t>Nor4</t>
  </si>
  <si>
    <t>Kran Air Norgen 1/2"</t>
  </si>
  <si>
    <t>QW/JT</t>
  </si>
  <si>
    <t>Nor5</t>
  </si>
  <si>
    <t>QR-JT</t>
  </si>
  <si>
    <t>Nor6</t>
  </si>
  <si>
    <t>Yuta1</t>
  </si>
  <si>
    <t>Yuta2</t>
  </si>
  <si>
    <t>Yuta3</t>
  </si>
  <si>
    <t>Yuta4</t>
  </si>
  <si>
    <t>Yuta5</t>
  </si>
  <si>
    <t>Yuta6</t>
  </si>
  <si>
    <t>Yuta7</t>
  </si>
  <si>
    <t>Yuta8</t>
  </si>
  <si>
    <t>Yuta9</t>
  </si>
  <si>
    <t>Yuta10</t>
  </si>
  <si>
    <t>Yuta11</t>
  </si>
  <si>
    <t>Yuta12</t>
  </si>
  <si>
    <t>Yuta13</t>
  </si>
  <si>
    <t>Yuta14</t>
  </si>
  <si>
    <t>Kran Air Amico 1/2"</t>
  </si>
  <si>
    <t>Kran Air Soligen 1/2"</t>
  </si>
  <si>
    <t>Kran Air Haston ART 2234 1/2"</t>
  </si>
  <si>
    <t>Kran Taman Ernesto Hijau 1/2"</t>
  </si>
  <si>
    <t>Kran Taman Hioshi 1/2"</t>
  </si>
  <si>
    <t>Kran Taman Haston ART 2234-101 1/2"</t>
  </si>
  <si>
    <t>RT-BUA</t>
  </si>
  <si>
    <t>SQU-PJ/LT</t>
  </si>
  <si>
    <t>RZU-JLT</t>
  </si>
  <si>
    <t>Kran Taman Holy Blue S 3/4"</t>
  </si>
  <si>
    <t>Kran Taman Holy Blue L 3/4"</t>
  </si>
  <si>
    <t>Kran Taman Owl Blue S 1/2"</t>
  </si>
  <si>
    <t>Kran Taman Owl Blue L 1/2"</t>
  </si>
  <si>
    <t>Kran PVC VSM Jumbo 1/2"</t>
  </si>
  <si>
    <t>Kran Air Plastik Julio 3/4"</t>
  </si>
  <si>
    <t>Kran Air Plastik Yamato 1/2"</t>
  </si>
  <si>
    <t>YZ-JM</t>
  </si>
  <si>
    <t>VZ-CT/SW</t>
  </si>
  <si>
    <t>YU-JLT</t>
  </si>
  <si>
    <t>Kran Air Isco Plastik Warna 3/4"</t>
  </si>
  <si>
    <t>Kran Air Isco Plastik Warna 1/2"</t>
  </si>
  <si>
    <t>Kran Air Isco Plastik Bening 1/2"</t>
  </si>
  <si>
    <t>Kran Air Isco Plastik Baling 1/2"</t>
  </si>
  <si>
    <t>SQV-SMK</t>
  </si>
  <si>
    <t>Kran Air Plastik Norgen KN-KR 1/2"</t>
  </si>
  <si>
    <t>Kran Air MDN Plastik 1/2"</t>
  </si>
  <si>
    <t>Kran Air Amico Plastik 1/2"</t>
  </si>
  <si>
    <t>Kran Taman Kodai Stainless 1/2"</t>
  </si>
  <si>
    <t>Kran Taman Isco 1/2"</t>
  </si>
  <si>
    <t>Kran Taman Warna 1/2"</t>
  </si>
  <si>
    <t>QS-PJ</t>
  </si>
  <si>
    <t>RQ-PJ</t>
  </si>
  <si>
    <t>SU-JLT</t>
  </si>
  <si>
    <t>Kran Air BCH Bibcock Yuta</t>
  </si>
  <si>
    <t>Basin Tap TBAW Yuta 1/2</t>
  </si>
  <si>
    <t>SQS-SCM</t>
  </si>
  <si>
    <t>Kode Barang</t>
  </si>
  <si>
    <t>Kran Taman Majesty 1/2" &amp; 3/4"</t>
  </si>
  <si>
    <t>UW-JM</t>
  </si>
  <si>
    <t>KRAN KOMPRESOR</t>
  </si>
  <si>
    <t>Kran Kuningan Kompresor Hoto 1/4"</t>
  </si>
  <si>
    <t>QSU-JM</t>
  </si>
  <si>
    <t>krann1</t>
  </si>
  <si>
    <t>Kran Isco 1/2" 8168</t>
  </si>
  <si>
    <t>Kran Isco 1/2" 207</t>
  </si>
  <si>
    <t>kran2</t>
  </si>
  <si>
    <t>VS-SBA</t>
  </si>
  <si>
    <t>TS-SBA</t>
  </si>
  <si>
    <t>Kran Air 1/2" Amico</t>
  </si>
  <si>
    <t>QVU-PJ/KM</t>
  </si>
  <si>
    <t>kran4</t>
  </si>
  <si>
    <t>Kran Cabang Yuta AGSD 1/2"</t>
  </si>
  <si>
    <t>Kran Cabang Yuta AGS 1/2"</t>
  </si>
  <si>
    <t>Kran Yuta AGB 1/2"</t>
  </si>
  <si>
    <t>VU-SCM</t>
  </si>
  <si>
    <t>TW-SCM</t>
  </si>
  <si>
    <t>VWR-SCM</t>
  </si>
  <si>
    <t>Yuta15</t>
  </si>
  <si>
    <t>Yuta16</t>
  </si>
  <si>
    <t>Yuta17</t>
  </si>
  <si>
    <t>Kran Air HPP Plastik Double Drak 1/2 3/4</t>
  </si>
  <si>
    <t>UU-TW</t>
  </si>
  <si>
    <t>Kran Taman Hasston 1/2" 2234-100</t>
  </si>
  <si>
    <t>Kran Taman Hasston 1/2" 2234-101</t>
  </si>
  <si>
    <t>Kran Taman Kuningan Hasston 1/2" 2234-103</t>
  </si>
  <si>
    <t>Kran Hasston 1/2" 2234-017</t>
  </si>
  <si>
    <t>RWU-BUA</t>
  </si>
  <si>
    <t>RS-BUA</t>
  </si>
  <si>
    <t>TRW-BUA</t>
  </si>
  <si>
    <t>QUR-BUA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</si>
</sst>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0DFF-73E9-47D2-B621-42CE2066F5AE}">
  <dimension ref="A1:J990"/>
  <sheetViews>
    <sheetView tabSelected="1" workbookViewId="0">
      <pane ySplit="3" topLeftCell="A4" activePane="bottomLeft" state="frozen"/>
      <selection pane="bottomLeft" activeCell="I20" sqref="I20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0.140625" customWidth="1"/>
    <col min="4" max="4" width="16" style="14" customWidth="1"/>
    <col min="5" max="5" width="14.85546875" customWidth="1"/>
    <col min="6" max="6" width="16.85546875" style="14" customWidth="1"/>
    <col min="7" max="7" width="9.140625" style="15" customWidth="1"/>
    <col min="8" max="8" width="14.7109375" customWidth="1"/>
    <col min="9" max="26" width="8.7109375" customWidth="1"/>
  </cols>
  <sheetData>
    <row r="1" spans="1:10" ht="14.25" customHeight="1" x14ac:dyDescent="0.25">
      <c r="B1" s="1"/>
      <c r="C1" s="2" t="s">
        <v>49</v>
      </c>
      <c r="D1" s="11"/>
      <c r="E1" s="3"/>
      <c r="F1" s="11"/>
    </row>
    <row r="2" spans="1:10" ht="14.25" customHeight="1" x14ac:dyDescent="0.25">
      <c r="B2" s="1"/>
      <c r="D2" s="11"/>
      <c r="E2" s="3"/>
      <c r="F2" s="11"/>
      <c r="J2" s="4"/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2" t="s">
        <v>4</v>
      </c>
      <c r="E3" s="7" t="s">
        <v>169</v>
      </c>
      <c r="F3" s="12" t="s">
        <v>6</v>
      </c>
      <c r="G3" s="5" t="s">
        <v>7</v>
      </c>
      <c r="J3" s="8"/>
    </row>
    <row r="4" spans="1:10" ht="15.95" customHeight="1" x14ac:dyDescent="0.25">
      <c r="A4" s="9" t="s">
        <v>26</v>
      </c>
      <c r="B4" s="9">
        <v>464573</v>
      </c>
      <c r="C4" s="9" t="s">
        <v>170</v>
      </c>
      <c r="D4" s="13">
        <v>5700</v>
      </c>
      <c r="E4" s="10" t="s">
        <v>171</v>
      </c>
      <c r="F4" s="13">
        <v>10000</v>
      </c>
      <c r="G4" s="16">
        <v>24</v>
      </c>
      <c r="H4" s="14">
        <f t="shared" ref="H4:H11" si="0">F4-D4</f>
        <v>4300</v>
      </c>
    </row>
    <row r="5" spans="1:10" ht="15.95" customHeight="1" x14ac:dyDescent="0.25">
      <c r="A5" s="9" t="s">
        <v>178</v>
      </c>
      <c r="B5" s="9">
        <v>464574</v>
      </c>
      <c r="C5" s="9" t="s">
        <v>176</v>
      </c>
      <c r="D5" s="13">
        <v>6300</v>
      </c>
      <c r="E5" s="10" t="s">
        <v>179</v>
      </c>
      <c r="F5" s="13">
        <v>12000</v>
      </c>
      <c r="G5" s="16">
        <v>72</v>
      </c>
      <c r="H5" s="14">
        <f t="shared" si="0"/>
        <v>5700</v>
      </c>
    </row>
    <row r="6" spans="1:10" ht="15.95" customHeight="1" x14ac:dyDescent="0.25">
      <c r="A6" s="9" t="s">
        <v>28</v>
      </c>
      <c r="B6" s="9">
        <v>464575</v>
      </c>
      <c r="C6" s="9" t="s">
        <v>177</v>
      </c>
      <c r="D6" s="13">
        <v>4300</v>
      </c>
      <c r="E6" s="10" t="s">
        <v>180</v>
      </c>
      <c r="F6" s="13">
        <v>10000</v>
      </c>
      <c r="G6" s="16">
        <v>60</v>
      </c>
      <c r="H6" s="14">
        <f t="shared" si="0"/>
        <v>5700</v>
      </c>
    </row>
    <row r="7" spans="1:10" ht="15.95" customHeight="1" x14ac:dyDescent="0.25">
      <c r="A7" s="9" t="s">
        <v>183</v>
      </c>
      <c r="B7" s="9">
        <v>464576</v>
      </c>
      <c r="C7" s="9" t="s">
        <v>181</v>
      </c>
      <c r="D7" s="13">
        <v>16500</v>
      </c>
      <c r="E7" s="10" t="s">
        <v>182</v>
      </c>
      <c r="F7" s="13">
        <v>28000</v>
      </c>
      <c r="G7" s="16">
        <v>48</v>
      </c>
      <c r="H7" s="14">
        <f t="shared" si="0"/>
        <v>11500</v>
      </c>
    </row>
    <row r="8" spans="1:10" ht="15.95" customHeight="1" x14ac:dyDescent="0.25">
      <c r="A8" s="9" t="s">
        <v>30</v>
      </c>
      <c r="B8" s="9">
        <v>464577</v>
      </c>
      <c r="C8" s="9" t="s">
        <v>195</v>
      </c>
      <c r="D8" s="13">
        <v>27500</v>
      </c>
      <c r="E8" s="10" t="s">
        <v>199</v>
      </c>
      <c r="F8" s="13">
        <v>65000</v>
      </c>
      <c r="G8" s="16">
        <v>12</v>
      </c>
      <c r="H8" s="14">
        <f t="shared" si="0"/>
        <v>37500</v>
      </c>
    </row>
    <row r="9" spans="1:10" ht="15.95" customHeight="1" x14ac:dyDescent="0.25">
      <c r="A9" s="9" t="s">
        <v>31</v>
      </c>
      <c r="B9" s="9">
        <v>464578</v>
      </c>
      <c r="C9" s="9" t="s">
        <v>196</v>
      </c>
      <c r="D9" s="13">
        <v>23000</v>
      </c>
      <c r="E9" s="10" t="s">
        <v>200</v>
      </c>
      <c r="F9" s="13">
        <v>55000</v>
      </c>
      <c r="G9" s="16">
        <v>12</v>
      </c>
      <c r="H9" s="14">
        <f t="shared" si="0"/>
        <v>32000</v>
      </c>
    </row>
    <row r="10" spans="1:10" ht="15.95" customHeight="1" x14ac:dyDescent="0.25">
      <c r="A10" s="9" t="s">
        <v>32</v>
      </c>
      <c r="B10" s="9">
        <v>464579</v>
      </c>
      <c r="C10" s="9" t="s">
        <v>197</v>
      </c>
      <c r="D10" s="13">
        <v>42700</v>
      </c>
      <c r="E10" s="10" t="s">
        <v>201</v>
      </c>
      <c r="F10" s="13">
        <v>75000</v>
      </c>
      <c r="G10" s="16">
        <v>12</v>
      </c>
      <c r="H10" s="14">
        <f t="shared" si="0"/>
        <v>32300</v>
      </c>
    </row>
    <row r="11" spans="1:10" ht="15.95" customHeight="1" x14ac:dyDescent="0.25">
      <c r="A11" s="9" t="s">
        <v>33</v>
      </c>
      <c r="B11" s="9">
        <v>464580</v>
      </c>
      <c r="C11" s="9" t="s">
        <v>198</v>
      </c>
      <c r="D11" s="13">
        <v>15200</v>
      </c>
      <c r="E11" s="10" t="s">
        <v>202</v>
      </c>
      <c r="F11" s="13">
        <v>38000</v>
      </c>
      <c r="G11" s="16">
        <v>24</v>
      </c>
      <c r="H11" s="14">
        <f t="shared" si="0"/>
        <v>22800</v>
      </c>
    </row>
    <row r="12" spans="1:10" ht="15.95" customHeight="1" x14ac:dyDescent="0.25">
      <c r="A12" s="9"/>
      <c r="B12" s="9"/>
      <c r="C12" s="9"/>
      <c r="D12" s="13"/>
      <c r="E12" s="10"/>
      <c r="F12" s="13"/>
      <c r="G12" s="16"/>
    </row>
    <row r="13" spans="1:10" ht="15.95" customHeight="1" x14ac:dyDescent="0.25">
      <c r="A13" s="9"/>
      <c r="B13" s="9"/>
      <c r="C13" s="9"/>
      <c r="D13" s="13"/>
      <c r="E13" s="10"/>
      <c r="F13" s="13"/>
      <c r="G13" s="16"/>
    </row>
    <row r="14" spans="1:10" ht="15.95" customHeight="1" x14ac:dyDescent="0.25">
      <c r="A14" s="9"/>
      <c r="B14" s="9"/>
      <c r="C14" s="9"/>
      <c r="D14" s="13"/>
      <c r="E14" s="10"/>
      <c r="F14" s="13"/>
      <c r="G14" s="16"/>
    </row>
    <row r="15" spans="1:10" ht="15.95" customHeight="1" x14ac:dyDescent="0.25">
      <c r="A15" s="9"/>
      <c r="B15" s="9"/>
      <c r="C15" s="9"/>
      <c r="D15" s="13"/>
      <c r="E15" s="10"/>
      <c r="F15" s="13"/>
      <c r="G15" s="16"/>
    </row>
    <row r="16" spans="1:10" ht="15.95" customHeight="1" x14ac:dyDescent="0.25">
      <c r="A16" s="9"/>
      <c r="B16" s="9"/>
      <c r="C16" s="9"/>
      <c r="D16" s="13"/>
      <c r="E16" s="10"/>
      <c r="F16" s="13"/>
      <c r="G16" s="16"/>
    </row>
    <row r="17" spans="1:7" ht="15.95" customHeight="1" x14ac:dyDescent="0.25">
      <c r="A17" s="9"/>
      <c r="B17" s="9"/>
      <c r="C17" s="9"/>
      <c r="D17" s="13"/>
      <c r="E17" s="10"/>
      <c r="F17" s="13"/>
      <c r="G17" s="16"/>
    </row>
    <row r="18" spans="1:7" ht="15.95" customHeight="1" x14ac:dyDescent="0.25">
      <c r="A18" s="9"/>
      <c r="B18" s="9"/>
      <c r="C18" s="9"/>
      <c r="D18" s="13"/>
      <c r="E18" s="10"/>
      <c r="F18" s="13"/>
      <c r="G18" s="16"/>
    </row>
    <row r="19" spans="1:7" ht="15.95" customHeight="1" x14ac:dyDescent="0.25">
      <c r="A19" s="9"/>
      <c r="B19" s="9"/>
      <c r="C19" s="9"/>
      <c r="D19" s="13"/>
      <c r="E19" s="10"/>
      <c r="F19" s="13"/>
      <c r="G19" s="16"/>
    </row>
    <row r="20" spans="1:7" ht="15.95" customHeight="1" x14ac:dyDescent="0.25">
      <c r="A20" s="9"/>
      <c r="B20" s="9"/>
      <c r="C20" s="9"/>
      <c r="D20" s="13"/>
      <c r="E20" s="10"/>
      <c r="F20" s="13"/>
      <c r="G20" s="16"/>
    </row>
    <row r="21" spans="1:7" ht="15.95" customHeight="1" x14ac:dyDescent="0.25">
      <c r="A21" s="9"/>
      <c r="B21" s="9"/>
      <c r="C21" s="9"/>
      <c r="D21" s="13"/>
      <c r="E21" s="10"/>
      <c r="F21" s="13"/>
      <c r="G21" s="16"/>
    </row>
    <row r="22" spans="1:7" ht="15.95" customHeight="1" x14ac:dyDescent="0.25">
      <c r="A22" s="9"/>
      <c r="B22" s="9"/>
      <c r="C22" s="9"/>
      <c r="D22" s="13"/>
      <c r="E22" s="10"/>
      <c r="F22" s="13"/>
      <c r="G22" s="16"/>
    </row>
    <row r="23" spans="1:7" ht="15.95" customHeight="1" x14ac:dyDescent="0.25">
      <c r="A23" s="9"/>
      <c r="B23" s="9"/>
      <c r="C23" s="9"/>
      <c r="D23" s="13"/>
      <c r="E23" s="10"/>
      <c r="F23" s="13"/>
      <c r="G23" s="16"/>
    </row>
    <row r="24" spans="1:7" ht="15.95" customHeight="1" x14ac:dyDescent="0.25">
      <c r="A24" s="9"/>
      <c r="B24" s="9"/>
      <c r="C24" s="9"/>
      <c r="D24" s="13"/>
      <c r="E24" s="10"/>
      <c r="F24" s="13"/>
      <c r="G24" s="16"/>
    </row>
    <row r="25" spans="1:7" ht="15.95" customHeight="1" x14ac:dyDescent="0.25">
      <c r="A25" s="9"/>
      <c r="B25" s="9"/>
      <c r="C25" s="9"/>
      <c r="D25" s="13"/>
      <c r="E25" s="10"/>
      <c r="F25" s="13"/>
      <c r="G25" s="16"/>
    </row>
    <row r="26" spans="1:7" ht="15.95" customHeight="1" x14ac:dyDescent="0.25">
      <c r="A26" s="9"/>
      <c r="B26" s="9"/>
      <c r="C26" s="9"/>
      <c r="D26" s="13"/>
      <c r="E26" s="10"/>
      <c r="F26" s="13"/>
      <c r="G26" s="16"/>
    </row>
    <row r="27" spans="1:7" ht="15.95" customHeight="1" x14ac:dyDescent="0.25">
      <c r="A27" s="9"/>
      <c r="B27" s="9"/>
      <c r="C27" s="9"/>
      <c r="D27" s="13"/>
      <c r="E27" s="10"/>
      <c r="F27" s="13"/>
      <c r="G27" s="16"/>
    </row>
    <row r="28" spans="1:7" ht="15.95" customHeight="1" x14ac:dyDescent="0.25">
      <c r="A28" s="9"/>
      <c r="B28" s="9"/>
      <c r="C28" s="9"/>
      <c r="D28" s="13"/>
      <c r="E28" s="10"/>
      <c r="F28" s="13"/>
      <c r="G28" s="16"/>
    </row>
    <row r="29" spans="1:7" ht="15.95" customHeight="1" x14ac:dyDescent="0.25">
      <c r="A29" s="9"/>
      <c r="B29" s="9"/>
      <c r="C29" s="9"/>
      <c r="D29" s="13"/>
      <c r="E29" s="10"/>
      <c r="F29" s="13"/>
      <c r="G29" s="16"/>
    </row>
    <row r="30" spans="1:7" ht="14.25" customHeight="1" x14ac:dyDescent="0.25"/>
    <row r="31" spans="1:7" ht="14.25" customHeight="1" x14ac:dyDescent="0.25"/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</sheetData>
  <phoneticPr fontId="3" type="noConversion"/>
  <conditionalFormatting sqref="A1:A1048576">
    <cfRule type="duplicateValues" dxfId="13" priority="2"/>
  </conditionalFormatting>
  <conditionalFormatting sqref="B1:B1048576">
    <cfRule type="duplicateValues" dxfId="12" priority="1"/>
  </conditionalFormatting>
  <pageMargins left="0.7" right="0.7" top="0.75" bottom="0.75" header="0" footer="0"/>
  <pageSetup scale="8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F4AB-71B4-499E-8B4F-C0576BAF1341}">
  <dimension ref="A1:J986"/>
  <sheetViews>
    <sheetView workbookViewId="0">
      <pane ySplit="3" topLeftCell="A4" activePane="bottomLeft" state="frozen"/>
      <selection pane="bottomLeft" activeCell="C24" sqref="C24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0.140625" customWidth="1"/>
    <col min="4" max="4" width="16" style="14" customWidth="1"/>
    <col min="5" max="5" width="14.85546875" customWidth="1"/>
    <col min="6" max="6" width="16.85546875" style="14" customWidth="1"/>
    <col min="7" max="7" width="9.140625" style="15" customWidth="1"/>
    <col min="8" max="8" width="13.42578125" style="14" customWidth="1"/>
    <col min="9" max="26" width="8.7109375" customWidth="1"/>
  </cols>
  <sheetData>
    <row r="1" spans="1:10" ht="14.25" customHeight="1" x14ac:dyDescent="0.25">
      <c r="B1" s="1"/>
      <c r="C1" s="2" t="s">
        <v>73</v>
      </c>
      <c r="D1" s="11"/>
      <c r="E1" s="3"/>
      <c r="F1" s="11"/>
    </row>
    <row r="2" spans="1:10" ht="14.25" customHeight="1" x14ac:dyDescent="0.25">
      <c r="B2" s="1"/>
      <c r="D2" s="11"/>
      <c r="E2" s="3"/>
      <c r="F2" s="11"/>
      <c r="J2" s="4"/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2" t="s">
        <v>4</v>
      </c>
      <c r="E3" s="7" t="s">
        <v>169</v>
      </c>
      <c r="F3" s="12" t="s">
        <v>6</v>
      </c>
      <c r="G3" s="5" t="s">
        <v>7</v>
      </c>
      <c r="J3" s="8"/>
    </row>
    <row r="4" spans="1:10" ht="15.95" customHeight="1" x14ac:dyDescent="0.25">
      <c r="A4" s="9" t="s">
        <v>119</v>
      </c>
      <c r="B4" s="9">
        <v>114458</v>
      </c>
      <c r="C4" s="9" t="s">
        <v>50</v>
      </c>
      <c r="D4" s="13">
        <v>23600</v>
      </c>
      <c r="E4" s="10" t="s">
        <v>62</v>
      </c>
      <c r="F4" s="13">
        <v>55000</v>
      </c>
      <c r="G4" s="16">
        <v>34</v>
      </c>
      <c r="H4" s="14">
        <f>F4-D4</f>
        <v>31400</v>
      </c>
    </row>
    <row r="5" spans="1:10" ht="15.95" customHeight="1" x14ac:dyDescent="0.25">
      <c r="A5" s="9" t="s">
        <v>120</v>
      </c>
      <c r="B5" s="9">
        <v>114459</v>
      </c>
      <c r="C5" s="9" t="s">
        <v>51</v>
      </c>
      <c r="D5" s="13">
        <v>29300</v>
      </c>
      <c r="E5" s="10" t="s">
        <v>63</v>
      </c>
      <c r="F5" s="13">
        <v>65000</v>
      </c>
      <c r="G5" s="16">
        <v>8</v>
      </c>
      <c r="H5" s="14">
        <f t="shared" ref="H5:H20" si="0">F5-D5</f>
        <v>35700</v>
      </c>
    </row>
    <row r="6" spans="1:10" ht="15.95" customHeight="1" x14ac:dyDescent="0.25">
      <c r="A6" s="9" t="s">
        <v>121</v>
      </c>
      <c r="B6" s="9">
        <v>114460</v>
      </c>
      <c r="C6" s="9" t="s">
        <v>52</v>
      </c>
      <c r="D6" s="13">
        <v>38300</v>
      </c>
      <c r="E6" s="10" t="s">
        <v>23</v>
      </c>
      <c r="F6" s="13">
        <v>65000</v>
      </c>
      <c r="G6" s="16">
        <v>16</v>
      </c>
      <c r="H6" s="14">
        <f t="shared" si="0"/>
        <v>26700</v>
      </c>
    </row>
    <row r="7" spans="1:10" ht="15.95" customHeight="1" x14ac:dyDescent="0.25">
      <c r="A7" s="9" t="s">
        <v>122</v>
      </c>
      <c r="B7" s="9">
        <v>114461</v>
      </c>
      <c r="C7" s="9" t="s">
        <v>53</v>
      </c>
      <c r="D7" s="13">
        <v>25000</v>
      </c>
      <c r="E7" s="10" t="s">
        <v>18</v>
      </c>
      <c r="F7" s="13">
        <v>50000</v>
      </c>
      <c r="G7" s="16">
        <v>37</v>
      </c>
      <c r="H7" s="14">
        <f t="shared" si="0"/>
        <v>25000</v>
      </c>
    </row>
    <row r="8" spans="1:10" ht="15.95" customHeight="1" x14ac:dyDescent="0.25">
      <c r="A8" s="9" t="s">
        <v>123</v>
      </c>
      <c r="B8" s="9">
        <v>114462</v>
      </c>
      <c r="C8" s="9" t="s">
        <v>54</v>
      </c>
      <c r="D8" s="13">
        <v>34000</v>
      </c>
      <c r="E8" s="10" t="s">
        <v>64</v>
      </c>
      <c r="F8" s="13">
        <v>60000</v>
      </c>
      <c r="G8" s="16">
        <v>30</v>
      </c>
      <c r="H8" s="14">
        <f t="shared" si="0"/>
        <v>26000</v>
      </c>
    </row>
    <row r="9" spans="1:10" ht="15.95" customHeight="1" x14ac:dyDescent="0.25">
      <c r="A9" s="9" t="s">
        <v>124</v>
      </c>
      <c r="B9" s="9">
        <v>114463</v>
      </c>
      <c r="C9" s="9" t="s">
        <v>55</v>
      </c>
      <c r="D9" s="13">
        <v>58600</v>
      </c>
      <c r="E9" s="10" t="s">
        <v>65</v>
      </c>
      <c r="F9" s="13">
        <v>135000</v>
      </c>
      <c r="G9" s="16">
        <v>16</v>
      </c>
      <c r="H9" s="14">
        <f t="shared" si="0"/>
        <v>76400</v>
      </c>
    </row>
    <row r="10" spans="1:10" ht="15.95" customHeight="1" x14ac:dyDescent="0.25">
      <c r="A10" s="9" t="s">
        <v>125</v>
      </c>
      <c r="B10" s="9">
        <v>114464</v>
      </c>
      <c r="C10" s="17" t="s">
        <v>56</v>
      </c>
      <c r="D10" s="18">
        <v>19500</v>
      </c>
      <c r="E10" s="19" t="s">
        <v>66</v>
      </c>
      <c r="F10" s="18">
        <v>45000</v>
      </c>
      <c r="G10" s="20">
        <v>76</v>
      </c>
      <c r="H10" s="14">
        <f t="shared" si="0"/>
        <v>25500</v>
      </c>
    </row>
    <row r="11" spans="1:10" ht="15.95" customHeight="1" x14ac:dyDescent="0.25">
      <c r="A11" s="9" t="s">
        <v>126</v>
      </c>
      <c r="B11" s="9">
        <v>114465</v>
      </c>
      <c r="C11" s="9" t="s">
        <v>57</v>
      </c>
      <c r="D11" s="13">
        <v>41000</v>
      </c>
      <c r="E11" s="10" t="s">
        <v>67</v>
      </c>
      <c r="F11" s="13">
        <v>75000</v>
      </c>
      <c r="G11" s="16">
        <v>6</v>
      </c>
      <c r="H11" s="14">
        <f t="shared" si="0"/>
        <v>34000</v>
      </c>
    </row>
    <row r="12" spans="1:10" ht="15.95" customHeight="1" x14ac:dyDescent="0.25">
      <c r="A12" s="9" t="s">
        <v>127</v>
      </c>
      <c r="B12" s="9">
        <v>114466</v>
      </c>
      <c r="C12" s="17" t="s">
        <v>167</v>
      </c>
      <c r="D12" s="18">
        <v>31300</v>
      </c>
      <c r="E12" s="19" t="s">
        <v>168</v>
      </c>
      <c r="F12" s="18">
        <v>65000</v>
      </c>
      <c r="G12" s="20">
        <v>25</v>
      </c>
      <c r="H12" s="14">
        <f t="shared" si="0"/>
        <v>33700</v>
      </c>
    </row>
    <row r="13" spans="1:10" ht="15.95" customHeight="1" x14ac:dyDescent="0.25">
      <c r="A13" s="9" t="s">
        <v>128</v>
      </c>
      <c r="B13" s="9">
        <v>114467</v>
      </c>
      <c r="C13" s="9" t="s">
        <v>58</v>
      </c>
      <c r="D13" s="13">
        <v>42000</v>
      </c>
      <c r="E13" s="10" t="s">
        <v>68</v>
      </c>
      <c r="F13" s="13">
        <v>85000</v>
      </c>
      <c r="G13" s="16">
        <v>14</v>
      </c>
      <c r="H13" s="14">
        <f t="shared" si="0"/>
        <v>43000</v>
      </c>
    </row>
    <row r="14" spans="1:10" ht="15.95" customHeight="1" x14ac:dyDescent="0.25">
      <c r="A14" s="9" t="s">
        <v>129</v>
      </c>
      <c r="B14" s="9">
        <v>114468</v>
      </c>
      <c r="C14" s="9" t="s">
        <v>59</v>
      </c>
      <c r="D14" s="13">
        <v>77500</v>
      </c>
      <c r="E14" s="10" t="s">
        <v>69</v>
      </c>
      <c r="F14" s="13">
        <v>155000</v>
      </c>
      <c r="G14" s="16">
        <v>5</v>
      </c>
      <c r="H14" s="14">
        <f t="shared" si="0"/>
        <v>77500</v>
      </c>
    </row>
    <row r="15" spans="1:10" ht="15.95" customHeight="1" x14ac:dyDescent="0.25">
      <c r="A15" s="9" t="s">
        <v>130</v>
      </c>
      <c r="B15" s="9">
        <v>114469</v>
      </c>
      <c r="C15" s="9" t="s">
        <v>60</v>
      </c>
      <c r="D15" s="13">
        <v>75000</v>
      </c>
      <c r="E15" s="10" t="s">
        <v>70</v>
      </c>
      <c r="F15" s="13">
        <v>155000</v>
      </c>
      <c r="G15" s="16">
        <v>3</v>
      </c>
      <c r="H15" s="14">
        <f t="shared" si="0"/>
        <v>80000</v>
      </c>
    </row>
    <row r="16" spans="1:10" ht="15.95" customHeight="1" x14ac:dyDescent="0.25">
      <c r="A16" s="9" t="s">
        <v>131</v>
      </c>
      <c r="B16" s="9">
        <v>114470</v>
      </c>
      <c r="C16" s="9" t="s">
        <v>61</v>
      </c>
      <c r="D16" s="13">
        <v>65700</v>
      </c>
      <c r="E16" s="10" t="s">
        <v>71</v>
      </c>
      <c r="F16" s="13">
        <v>150000</v>
      </c>
      <c r="G16" s="16">
        <v>5</v>
      </c>
      <c r="H16" s="14">
        <f t="shared" si="0"/>
        <v>84300</v>
      </c>
    </row>
    <row r="17" spans="1:8" ht="15.95" customHeight="1" x14ac:dyDescent="0.25">
      <c r="A17" s="9" t="s">
        <v>132</v>
      </c>
      <c r="B17" s="9">
        <v>114471</v>
      </c>
      <c r="C17" s="9" t="s">
        <v>166</v>
      </c>
      <c r="D17" s="13">
        <v>26000</v>
      </c>
      <c r="E17" s="10" t="s">
        <v>72</v>
      </c>
      <c r="F17" s="13">
        <v>55000</v>
      </c>
      <c r="G17" s="16">
        <v>45</v>
      </c>
      <c r="H17" s="14">
        <f t="shared" si="0"/>
        <v>29000</v>
      </c>
    </row>
    <row r="18" spans="1:8" ht="15.95" customHeight="1" x14ac:dyDescent="0.25">
      <c r="A18" s="9" t="s">
        <v>190</v>
      </c>
      <c r="B18" s="9">
        <v>114472</v>
      </c>
      <c r="C18" s="17" t="s">
        <v>184</v>
      </c>
      <c r="D18" s="18">
        <v>65000</v>
      </c>
      <c r="E18" s="19" t="s">
        <v>187</v>
      </c>
      <c r="F18" s="18">
        <v>150000</v>
      </c>
      <c r="G18" s="20">
        <v>3</v>
      </c>
      <c r="H18" s="14">
        <f t="shared" si="0"/>
        <v>85000</v>
      </c>
    </row>
    <row r="19" spans="1:8" ht="15.95" customHeight="1" x14ac:dyDescent="0.25">
      <c r="A19" s="9" t="s">
        <v>191</v>
      </c>
      <c r="B19" s="9">
        <v>114473</v>
      </c>
      <c r="C19" s="17" t="s">
        <v>185</v>
      </c>
      <c r="D19" s="18">
        <v>47000</v>
      </c>
      <c r="E19" s="19" t="s">
        <v>188</v>
      </c>
      <c r="F19" s="18">
        <v>100000</v>
      </c>
      <c r="G19" s="20">
        <v>3</v>
      </c>
      <c r="H19" s="14">
        <f t="shared" si="0"/>
        <v>53000</v>
      </c>
    </row>
    <row r="20" spans="1:8" ht="15.95" customHeight="1" x14ac:dyDescent="0.25">
      <c r="A20" s="9" t="s">
        <v>192</v>
      </c>
      <c r="B20" s="9">
        <v>114474</v>
      </c>
      <c r="C20" s="17" t="s">
        <v>186</v>
      </c>
      <c r="D20" s="18">
        <v>67200</v>
      </c>
      <c r="E20" s="19" t="s">
        <v>189</v>
      </c>
      <c r="F20" s="18">
        <v>135000</v>
      </c>
      <c r="G20" s="20">
        <v>3</v>
      </c>
      <c r="H20" s="14">
        <f t="shared" si="0"/>
        <v>67800</v>
      </c>
    </row>
    <row r="21" spans="1:8" ht="15.95" customHeight="1" x14ac:dyDescent="0.25">
      <c r="A21" s="9"/>
      <c r="B21" s="9"/>
      <c r="C21" s="9"/>
      <c r="D21" s="13"/>
      <c r="E21" s="10"/>
      <c r="F21" s="13"/>
      <c r="G21" s="16"/>
    </row>
    <row r="22" spans="1:8" ht="15.95" customHeight="1" x14ac:dyDescent="0.25">
      <c r="A22" s="9"/>
      <c r="B22" s="9"/>
      <c r="C22" s="9"/>
      <c r="D22" s="13"/>
      <c r="E22" s="10"/>
      <c r="F22" s="13"/>
      <c r="G22" s="16"/>
    </row>
    <row r="23" spans="1:8" ht="15.95" customHeight="1" x14ac:dyDescent="0.25">
      <c r="A23" s="9"/>
      <c r="B23" s="9"/>
      <c r="C23" s="9"/>
      <c r="D23" s="13"/>
      <c r="E23" s="10"/>
      <c r="F23" s="13"/>
      <c r="G23" s="16"/>
    </row>
    <row r="24" spans="1:8" ht="15.95" customHeight="1" x14ac:dyDescent="0.25">
      <c r="A24" s="9"/>
      <c r="B24" s="9"/>
      <c r="C24" s="9"/>
      <c r="D24" s="13"/>
      <c r="E24" s="10"/>
      <c r="F24" s="13"/>
      <c r="G24" s="16"/>
    </row>
    <row r="25" spans="1:8" ht="15.95" customHeight="1" x14ac:dyDescent="0.25">
      <c r="A25" s="9"/>
      <c r="B25" s="9"/>
      <c r="C25" s="9"/>
      <c r="D25" s="13"/>
      <c r="E25" s="10"/>
      <c r="F25" s="13"/>
      <c r="G25" s="16"/>
    </row>
    <row r="26" spans="1:8" ht="14.25" customHeight="1" x14ac:dyDescent="0.25"/>
    <row r="27" spans="1:8" ht="14.25" customHeight="1" x14ac:dyDescent="0.25"/>
    <row r="28" spans="1:8" ht="14.25" customHeight="1" x14ac:dyDescent="0.25"/>
    <row r="29" spans="1:8" ht="14.25" customHeight="1" x14ac:dyDescent="0.25"/>
    <row r="30" spans="1:8" ht="14.25" customHeight="1" x14ac:dyDescent="0.25"/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</sheetData>
  <phoneticPr fontId="3" type="noConversion"/>
  <conditionalFormatting sqref="A1:A1048576">
    <cfRule type="duplicateValues" dxfId="11" priority="2"/>
  </conditionalFormatting>
  <conditionalFormatting sqref="B1:B1048576">
    <cfRule type="duplicateValues" dxfId="10" priority="1"/>
  </conditionalFormatting>
  <pageMargins left="0.7" right="0.7" top="0.75" bottom="0.75" header="0" footer="0"/>
  <pageSetup scale="8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E32F-4E68-4DAA-8D59-7F6F9C9D6F0A}">
  <dimension ref="A1:J974"/>
  <sheetViews>
    <sheetView workbookViewId="0">
      <pane ySplit="3" topLeftCell="A4" activePane="bottomLeft" state="frozen"/>
      <selection pane="bottomLeft" activeCell="C26" sqref="C26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0.140625" customWidth="1"/>
    <col min="4" max="4" width="16" style="14" customWidth="1"/>
    <col min="5" max="5" width="14.85546875" customWidth="1"/>
    <col min="6" max="6" width="16.85546875" style="14" customWidth="1"/>
    <col min="7" max="7" width="9.140625" style="15" customWidth="1"/>
    <col min="8" max="26" width="8.7109375" customWidth="1"/>
  </cols>
  <sheetData>
    <row r="1" spans="1:10" ht="14.25" customHeight="1" x14ac:dyDescent="0.25">
      <c r="B1" s="1"/>
      <c r="C1" s="2" t="s">
        <v>74</v>
      </c>
      <c r="D1" s="11"/>
      <c r="E1" s="3"/>
      <c r="F1" s="11"/>
    </row>
    <row r="2" spans="1:10" ht="14.25" customHeight="1" x14ac:dyDescent="0.25">
      <c r="B2" s="1"/>
      <c r="D2" s="11"/>
      <c r="E2" s="3"/>
      <c r="F2" s="11"/>
      <c r="J2" s="4" t="s">
        <v>0</v>
      </c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2" t="s">
        <v>4</v>
      </c>
      <c r="E3" s="7" t="s">
        <v>5</v>
      </c>
      <c r="F3" s="12" t="s">
        <v>6</v>
      </c>
      <c r="G3" s="5" t="s">
        <v>7</v>
      </c>
      <c r="J3" s="8"/>
    </row>
    <row r="4" spans="1:10" ht="15.95" customHeight="1" x14ac:dyDescent="0.25">
      <c r="A4" s="9" t="s">
        <v>89</v>
      </c>
      <c r="B4" s="9">
        <v>465656</v>
      </c>
      <c r="C4" s="9" t="s">
        <v>75</v>
      </c>
      <c r="D4" s="13">
        <v>24500</v>
      </c>
      <c r="E4" s="10" t="s">
        <v>83</v>
      </c>
      <c r="F4" s="13">
        <v>55000</v>
      </c>
      <c r="G4" s="16">
        <v>25</v>
      </c>
    </row>
    <row r="5" spans="1:10" ht="15.95" customHeight="1" x14ac:dyDescent="0.25">
      <c r="A5" s="9" t="s">
        <v>90</v>
      </c>
      <c r="B5" s="9">
        <v>465657</v>
      </c>
      <c r="C5" s="9" t="s">
        <v>76</v>
      </c>
      <c r="D5" s="13">
        <v>31000</v>
      </c>
      <c r="E5" s="10" t="s">
        <v>24</v>
      </c>
      <c r="F5" s="13">
        <v>65000</v>
      </c>
      <c r="G5" s="16">
        <v>23</v>
      </c>
    </row>
    <row r="6" spans="1:10" ht="15.95" customHeight="1" x14ac:dyDescent="0.25">
      <c r="A6" s="9" t="s">
        <v>91</v>
      </c>
      <c r="B6" s="9">
        <v>465658</v>
      </c>
      <c r="C6" s="9" t="s">
        <v>77</v>
      </c>
      <c r="D6" s="13">
        <v>18000</v>
      </c>
      <c r="E6" s="10" t="s">
        <v>84</v>
      </c>
      <c r="F6" s="13">
        <v>45000</v>
      </c>
      <c r="G6" s="16">
        <v>13</v>
      </c>
    </row>
    <row r="7" spans="1:10" ht="15.95" customHeight="1" x14ac:dyDescent="0.25">
      <c r="A7" s="9" t="s">
        <v>92</v>
      </c>
      <c r="B7" s="9">
        <v>465659</v>
      </c>
      <c r="C7" s="9" t="s">
        <v>78</v>
      </c>
      <c r="D7" s="13">
        <v>19500</v>
      </c>
      <c r="E7" s="10" t="s">
        <v>85</v>
      </c>
      <c r="F7" s="13">
        <v>55000</v>
      </c>
      <c r="G7" s="16">
        <v>15</v>
      </c>
    </row>
    <row r="8" spans="1:10" ht="15.95" customHeight="1" x14ac:dyDescent="0.25">
      <c r="A8" s="9" t="s">
        <v>93</v>
      </c>
      <c r="B8" s="9">
        <v>465660</v>
      </c>
      <c r="C8" s="9" t="s">
        <v>79</v>
      </c>
      <c r="D8" s="13">
        <v>15000</v>
      </c>
      <c r="E8" s="10" t="s">
        <v>16</v>
      </c>
      <c r="F8" s="13">
        <v>38000</v>
      </c>
      <c r="G8" s="16">
        <v>18</v>
      </c>
    </row>
    <row r="9" spans="1:10" ht="15.95" customHeight="1" x14ac:dyDescent="0.25">
      <c r="A9" s="9" t="s">
        <v>94</v>
      </c>
      <c r="B9" s="9">
        <v>465661</v>
      </c>
      <c r="C9" s="9" t="s">
        <v>80</v>
      </c>
      <c r="D9" s="13">
        <v>15000</v>
      </c>
      <c r="E9" s="10" t="s">
        <v>86</v>
      </c>
      <c r="F9" s="13">
        <v>38000</v>
      </c>
      <c r="G9" s="16">
        <v>31</v>
      </c>
    </row>
    <row r="10" spans="1:10" ht="15.95" customHeight="1" x14ac:dyDescent="0.25">
      <c r="A10" s="9" t="s">
        <v>95</v>
      </c>
      <c r="B10" s="9">
        <v>465662</v>
      </c>
      <c r="C10" s="9" t="s">
        <v>81</v>
      </c>
      <c r="D10" s="13">
        <v>46500</v>
      </c>
      <c r="E10" s="10" t="s">
        <v>87</v>
      </c>
      <c r="F10" s="13">
        <v>125000</v>
      </c>
      <c r="G10" s="16">
        <v>5</v>
      </c>
    </row>
    <row r="11" spans="1:10" ht="15.95" customHeight="1" x14ac:dyDescent="0.25">
      <c r="A11" s="9" t="s">
        <v>96</v>
      </c>
      <c r="B11" s="9">
        <v>465663</v>
      </c>
      <c r="C11" s="9" t="s">
        <v>82</v>
      </c>
      <c r="D11" s="13">
        <v>78000</v>
      </c>
      <c r="E11" s="10" t="s">
        <v>88</v>
      </c>
      <c r="F11" s="13">
        <v>175000</v>
      </c>
      <c r="G11" s="16">
        <v>4</v>
      </c>
    </row>
    <row r="12" spans="1:10" ht="15.95" customHeight="1" x14ac:dyDescent="0.25">
      <c r="A12" s="9"/>
      <c r="B12" s="9"/>
      <c r="C12" s="9"/>
      <c r="D12" s="13"/>
      <c r="E12" s="10"/>
      <c r="F12" s="13"/>
      <c r="G12" s="16"/>
    </row>
    <row r="13" spans="1:10" ht="15.95" customHeight="1" x14ac:dyDescent="0.25">
      <c r="A13" s="9"/>
      <c r="B13" s="9"/>
      <c r="C13" s="9"/>
      <c r="D13" s="13"/>
      <c r="E13" s="10"/>
      <c r="F13" s="13"/>
      <c r="G13" s="16"/>
    </row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</sheetData>
  <phoneticPr fontId="3" type="noConversion"/>
  <conditionalFormatting sqref="A1:A1048576">
    <cfRule type="duplicateValues" dxfId="9" priority="2"/>
  </conditionalFormatting>
  <conditionalFormatting sqref="B1:B1048576">
    <cfRule type="duplicateValues" dxfId="8" priority="1"/>
  </conditionalFormatting>
  <pageMargins left="0.7" right="0.7" top="0.75" bottom="0.75" header="0" footer="0"/>
  <pageSetup scale="80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ACCD-EC10-424A-B89E-ED959D0603C2}">
  <dimension ref="A1:J970"/>
  <sheetViews>
    <sheetView workbookViewId="0">
      <pane ySplit="3" topLeftCell="A4" activePane="bottomLeft" state="frozen"/>
      <selection pane="bottomLeft" activeCell="C28" sqref="C28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0.140625" customWidth="1"/>
    <col min="4" max="4" width="16" style="14" customWidth="1"/>
    <col min="5" max="5" width="14.85546875" customWidth="1"/>
    <col min="6" max="6" width="16.85546875" style="14" customWidth="1"/>
    <col min="7" max="7" width="9.140625" style="15" customWidth="1"/>
    <col min="8" max="26" width="8.7109375" customWidth="1"/>
  </cols>
  <sheetData>
    <row r="1" spans="1:10" ht="14.25" customHeight="1" x14ac:dyDescent="0.25">
      <c r="B1" s="1"/>
      <c r="C1" s="2" t="s">
        <v>97</v>
      </c>
      <c r="D1" s="11"/>
      <c r="E1" s="3"/>
      <c r="F1" s="11"/>
    </row>
    <row r="2" spans="1:10" ht="14.25" customHeight="1" x14ac:dyDescent="0.25">
      <c r="B2" s="1"/>
      <c r="D2" s="11"/>
      <c r="E2" s="3"/>
      <c r="F2" s="11"/>
      <c r="J2" s="4" t="s">
        <v>0</v>
      </c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2" t="s">
        <v>4</v>
      </c>
      <c r="E3" s="7" t="s">
        <v>5</v>
      </c>
      <c r="F3" s="12" t="s">
        <v>6</v>
      </c>
      <c r="G3" s="5" t="s">
        <v>7</v>
      </c>
      <c r="J3" s="8"/>
    </row>
    <row r="4" spans="1:10" ht="15.95" customHeight="1" x14ac:dyDescent="0.25">
      <c r="A4" s="9" t="s">
        <v>101</v>
      </c>
      <c r="B4" s="9">
        <v>236985</v>
      </c>
      <c r="C4" s="9" t="s">
        <v>98</v>
      </c>
      <c r="D4" s="13">
        <v>23500</v>
      </c>
      <c r="E4" s="10" t="s">
        <v>100</v>
      </c>
      <c r="F4" s="13">
        <v>55000</v>
      </c>
      <c r="G4" s="16">
        <v>22</v>
      </c>
    </row>
    <row r="5" spans="1:10" ht="15.95" customHeight="1" x14ac:dyDescent="0.25">
      <c r="A5" s="9" t="s">
        <v>102</v>
      </c>
      <c r="B5" s="9">
        <v>236986</v>
      </c>
      <c r="C5" s="9" t="s">
        <v>99</v>
      </c>
      <c r="D5" s="13">
        <v>33000</v>
      </c>
      <c r="E5" s="10" t="s">
        <v>22</v>
      </c>
      <c r="F5" s="13">
        <v>65000</v>
      </c>
      <c r="G5" s="16">
        <v>73</v>
      </c>
    </row>
    <row r="6" spans="1:10" ht="15.95" customHeight="1" x14ac:dyDescent="0.25">
      <c r="A6" s="9"/>
      <c r="B6" s="9"/>
      <c r="C6" s="9"/>
      <c r="D6" s="13"/>
      <c r="E6" s="10"/>
      <c r="F6" s="13"/>
      <c r="G6" s="16"/>
    </row>
    <row r="7" spans="1:10" ht="15.95" customHeight="1" x14ac:dyDescent="0.25">
      <c r="A7" s="9"/>
      <c r="B7" s="9"/>
      <c r="C7" s="9"/>
      <c r="D7" s="13"/>
      <c r="E7" s="10"/>
      <c r="F7" s="13"/>
      <c r="G7" s="16"/>
    </row>
    <row r="8" spans="1:10" ht="15.95" customHeight="1" x14ac:dyDescent="0.25">
      <c r="A8" s="9"/>
      <c r="B8" s="9"/>
      <c r="C8" s="9"/>
      <c r="D8" s="13"/>
      <c r="E8" s="10"/>
      <c r="F8" s="13"/>
      <c r="G8" s="16"/>
    </row>
    <row r="9" spans="1:10" ht="15.95" customHeight="1" x14ac:dyDescent="0.25">
      <c r="A9" s="9"/>
      <c r="B9" s="9"/>
      <c r="C9" s="9"/>
      <c r="D9" s="13"/>
      <c r="E9" s="10"/>
      <c r="F9" s="13"/>
      <c r="G9" s="16"/>
    </row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</sheetData>
  <conditionalFormatting sqref="A1:A1048576">
    <cfRule type="duplicateValues" dxfId="7" priority="2"/>
  </conditionalFormatting>
  <conditionalFormatting sqref="B1:B1048576">
    <cfRule type="duplicateValues" dxfId="6" priority="1"/>
  </conditionalFormatting>
  <pageMargins left="0.7" right="0.7" top="0.75" bottom="0.75" header="0" footer="0"/>
  <pageSetup scale="80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C8D2-DFB9-498E-B05A-F2A32B647C62}">
  <dimension ref="A1:J974"/>
  <sheetViews>
    <sheetView workbookViewId="0">
      <pane ySplit="3" topLeftCell="A4" activePane="bottomLeft" state="frozen"/>
      <selection pane="bottomLeft" activeCell="C28" sqref="C28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0.140625" customWidth="1"/>
    <col min="4" max="4" width="16" style="14" customWidth="1"/>
    <col min="5" max="5" width="14.85546875" customWidth="1"/>
    <col min="6" max="6" width="16.85546875" style="14" customWidth="1"/>
    <col min="7" max="7" width="9.140625" style="15" customWidth="1"/>
    <col min="8" max="26" width="8.7109375" customWidth="1"/>
  </cols>
  <sheetData>
    <row r="1" spans="1:10" ht="14.25" customHeight="1" x14ac:dyDescent="0.25">
      <c r="B1" s="1"/>
      <c r="C1" s="2" t="s">
        <v>103</v>
      </c>
      <c r="D1" s="11"/>
      <c r="E1" s="3"/>
      <c r="F1" s="11"/>
    </row>
    <row r="2" spans="1:10" ht="14.25" customHeight="1" x14ac:dyDescent="0.25">
      <c r="B2" s="1"/>
      <c r="D2" s="11"/>
      <c r="E2" s="3"/>
      <c r="F2" s="11"/>
      <c r="J2" s="4" t="s">
        <v>0</v>
      </c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2" t="s">
        <v>4</v>
      </c>
      <c r="E3" s="7" t="s">
        <v>5</v>
      </c>
      <c r="F3" s="12" t="s">
        <v>6</v>
      </c>
      <c r="G3" s="5" t="s">
        <v>7</v>
      </c>
      <c r="J3" s="8"/>
    </row>
    <row r="4" spans="1:10" ht="15.95" customHeight="1" x14ac:dyDescent="0.25">
      <c r="A4" s="9" t="s">
        <v>110</v>
      </c>
      <c r="B4" s="9">
        <v>365412</v>
      </c>
      <c r="C4" s="9" t="s">
        <v>104</v>
      </c>
      <c r="D4" s="13">
        <v>17500</v>
      </c>
      <c r="E4" s="10" t="s">
        <v>20</v>
      </c>
      <c r="F4" s="13">
        <v>38000</v>
      </c>
      <c r="G4" s="16">
        <v>60</v>
      </c>
    </row>
    <row r="5" spans="1:10" ht="15.95" customHeight="1" x14ac:dyDescent="0.25">
      <c r="A5" s="9" t="s">
        <v>111</v>
      </c>
      <c r="B5" s="9">
        <v>365413</v>
      </c>
      <c r="C5" s="9" t="s">
        <v>105</v>
      </c>
      <c r="D5" s="13">
        <v>30000</v>
      </c>
      <c r="E5" s="10" t="s">
        <v>108</v>
      </c>
      <c r="F5" s="13">
        <v>50000</v>
      </c>
      <c r="G5" s="16">
        <v>76</v>
      </c>
    </row>
    <row r="6" spans="1:10" ht="15.95" customHeight="1" x14ac:dyDescent="0.25">
      <c r="A6" s="9" t="s">
        <v>112</v>
      </c>
      <c r="B6" s="9">
        <v>365414</v>
      </c>
      <c r="C6" s="9" t="s">
        <v>106</v>
      </c>
      <c r="D6" s="13">
        <v>27000</v>
      </c>
      <c r="E6" s="10" t="s">
        <v>25</v>
      </c>
      <c r="F6" s="13">
        <v>65000</v>
      </c>
      <c r="G6" s="16">
        <v>171</v>
      </c>
    </row>
    <row r="7" spans="1:10" ht="15.95" customHeight="1" x14ac:dyDescent="0.25">
      <c r="A7" s="9" t="s">
        <v>113</v>
      </c>
      <c r="B7" s="9">
        <v>365415</v>
      </c>
      <c r="C7" s="9" t="s">
        <v>107</v>
      </c>
      <c r="D7" s="13">
        <v>21000</v>
      </c>
      <c r="E7" s="10" t="s">
        <v>109</v>
      </c>
      <c r="F7" s="13">
        <v>50000</v>
      </c>
      <c r="G7" s="16">
        <v>40</v>
      </c>
    </row>
    <row r="8" spans="1:10" ht="15.95" customHeight="1" x14ac:dyDescent="0.25">
      <c r="A8" s="9" t="s">
        <v>116</v>
      </c>
      <c r="B8" s="9">
        <v>365416</v>
      </c>
      <c r="C8" s="9" t="s">
        <v>114</v>
      </c>
      <c r="D8" s="13">
        <v>17000</v>
      </c>
      <c r="E8" s="10" t="s">
        <v>115</v>
      </c>
      <c r="F8" s="13">
        <v>38000</v>
      </c>
      <c r="G8" s="16">
        <v>11</v>
      </c>
    </row>
    <row r="9" spans="1:10" ht="15.95" customHeight="1" x14ac:dyDescent="0.25">
      <c r="A9" s="9" t="s">
        <v>118</v>
      </c>
      <c r="B9" s="9">
        <v>365417</v>
      </c>
      <c r="C9" s="9" t="s">
        <v>157</v>
      </c>
      <c r="D9" s="13">
        <v>12000</v>
      </c>
      <c r="E9" s="10" t="s">
        <v>117</v>
      </c>
      <c r="F9" s="13">
        <v>20000</v>
      </c>
      <c r="G9" s="16">
        <v>3</v>
      </c>
    </row>
    <row r="10" spans="1:10" ht="15.95" customHeight="1" x14ac:dyDescent="0.25">
      <c r="A10" s="9"/>
      <c r="B10" s="9"/>
      <c r="C10" s="9"/>
      <c r="D10" s="13"/>
      <c r="E10" s="10"/>
      <c r="F10" s="13"/>
      <c r="G10" s="16"/>
    </row>
    <row r="11" spans="1:10" ht="15.95" customHeight="1" x14ac:dyDescent="0.25">
      <c r="A11" s="9"/>
      <c r="B11" s="9"/>
      <c r="C11" s="9"/>
      <c r="D11" s="13"/>
      <c r="E11" s="10"/>
      <c r="F11" s="13"/>
      <c r="G11" s="16"/>
    </row>
    <row r="12" spans="1:10" ht="15.95" customHeight="1" x14ac:dyDescent="0.25">
      <c r="A12" s="9"/>
      <c r="B12" s="9"/>
      <c r="C12" s="9"/>
      <c r="D12" s="13"/>
      <c r="E12" s="10"/>
      <c r="F12" s="13"/>
      <c r="G12" s="16"/>
    </row>
    <row r="13" spans="1:10" ht="15.95" customHeight="1" x14ac:dyDescent="0.25">
      <c r="A13" s="9"/>
      <c r="B13" s="9"/>
      <c r="C13" s="9"/>
      <c r="D13" s="13"/>
      <c r="E13" s="10"/>
      <c r="F13" s="13"/>
      <c r="G13" s="16"/>
    </row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</sheetData>
  <phoneticPr fontId="3" type="noConversion"/>
  <conditionalFormatting sqref="A1:A1048576">
    <cfRule type="duplicateValues" dxfId="5" priority="2"/>
  </conditionalFormatting>
  <conditionalFormatting sqref="B1:B1048576">
    <cfRule type="duplicateValues" dxfId="4" priority="1"/>
  </conditionalFormatting>
  <pageMargins left="0.7" right="0.7" top="0.75" bottom="0.75" header="0" footer="0"/>
  <pageSetup scale="80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6A86-AB35-4349-BE6E-E9BB2E8D84C8}">
  <dimension ref="A1:J991"/>
  <sheetViews>
    <sheetView workbookViewId="0">
      <pane ySplit="3" topLeftCell="A4" activePane="bottomLeft" state="frozen"/>
      <selection pane="bottomLeft" activeCell="C5" sqref="C5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0.140625" customWidth="1"/>
    <col min="4" max="4" width="16" style="14" customWidth="1"/>
    <col min="5" max="5" width="14.85546875" customWidth="1"/>
    <col min="6" max="6" width="16.85546875" style="14" customWidth="1"/>
    <col min="7" max="7" width="9.140625" style="15" customWidth="1"/>
    <col min="8" max="8" width="14.7109375" customWidth="1"/>
    <col min="9" max="26" width="8.7109375" customWidth="1"/>
  </cols>
  <sheetData>
    <row r="1" spans="1:10" ht="14.25" customHeight="1" x14ac:dyDescent="0.25">
      <c r="B1" s="1"/>
      <c r="C1" s="2" t="s">
        <v>49</v>
      </c>
      <c r="D1" s="11"/>
      <c r="E1" s="3"/>
      <c r="F1" s="11"/>
    </row>
    <row r="2" spans="1:10" ht="14.25" customHeight="1" x14ac:dyDescent="0.25">
      <c r="B2" s="1"/>
      <c r="D2" s="11"/>
      <c r="E2" s="3"/>
      <c r="F2" s="11"/>
      <c r="J2" s="4"/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2" t="s">
        <v>4</v>
      </c>
      <c r="E3" s="7" t="s">
        <v>169</v>
      </c>
      <c r="F3" s="12" t="s">
        <v>6</v>
      </c>
      <c r="G3" s="5" t="s">
        <v>7</v>
      </c>
      <c r="J3" s="8"/>
    </row>
    <row r="4" spans="1:10" ht="15.95" customHeight="1" x14ac:dyDescent="0.25">
      <c r="A4" s="9" t="s">
        <v>26</v>
      </c>
      <c r="B4" s="9">
        <v>464550</v>
      </c>
      <c r="C4" s="9" t="s">
        <v>134</v>
      </c>
      <c r="D4" s="13">
        <v>17800</v>
      </c>
      <c r="E4" s="10" t="s">
        <v>17</v>
      </c>
      <c r="F4" s="13">
        <v>38000</v>
      </c>
      <c r="G4" s="16">
        <v>26</v>
      </c>
      <c r="H4" s="14">
        <f>F4-D4</f>
        <v>20200</v>
      </c>
    </row>
    <row r="5" spans="1:10" ht="15.95" customHeight="1" x14ac:dyDescent="0.25">
      <c r="A5" s="9" t="s">
        <v>27</v>
      </c>
      <c r="B5" s="9">
        <v>464551</v>
      </c>
      <c r="C5" s="9" t="s">
        <v>135</v>
      </c>
      <c r="D5" s="13">
        <v>24000</v>
      </c>
      <c r="E5" s="10" t="s">
        <v>139</v>
      </c>
      <c r="F5" s="13">
        <v>65000</v>
      </c>
      <c r="G5" s="16">
        <v>1</v>
      </c>
      <c r="H5" s="14">
        <f t="shared" ref="H5:H26" si="0">F5-D5</f>
        <v>41000</v>
      </c>
    </row>
    <row r="6" spans="1:10" ht="15.95" customHeight="1" x14ac:dyDescent="0.25">
      <c r="A6" s="9" t="s">
        <v>28</v>
      </c>
      <c r="B6" s="9">
        <v>464552</v>
      </c>
      <c r="C6" s="9" t="s">
        <v>133</v>
      </c>
      <c r="D6" s="13">
        <v>31500</v>
      </c>
      <c r="E6" s="10" t="s">
        <v>140</v>
      </c>
      <c r="F6" s="13">
        <v>55000</v>
      </c>
      <c r="G6" s="16">
        <v>18</v>
      </c>
      <c r="H6" s="14">
        <f t="shared" si="0"/>
        <v>23500</v>
      </c>
    </row>
    <row r="7" spans="1:10" ht="15.95" customHeight="1" x14ac:dyDescent="0.25">
      <c r="A7" s="9" t="s">
        <v>29</v>
      </c>
      <c r="B7" s="9">
        <v>464553</v>
      </c>
      <c r="C7" s="9" t="s">
        <v>136</v>
      </c>
      <c r="D7" s="13">
        <v>20000</v>
      </c>
      <c r="E7" s="10" t="s">
        <v>21</v>
      </c>
      <c r="F7" s="13">
        <v>45000</v>
      </c>
      <c r="G7" s="16">
        <v>21</v>
      </c>
      <c r="H7" s="14">
        <f t="shared" si="0"/>
        <v>25000</v>
      </c>
    </row>
    <row r="8" spans="1:10" ht="15.95" customHeight="1" x14ac:dyDescent="0.25">
      <c r="A8" s="9" t="s">
        <v>30</v>
      </c>
      <c r="B8" s="9">
        <v>464554</v>
      </c>
      <c r="C8" s="9" t="s">
        <v>137</v>
      </c>
      <c r="D8" s="13">
        <v>20500</v>
      </c>
      <c r="E8" s="10" t="s">
        <v>141</v>
      </c>
      <c r="F8" s="13">
        <v>45000</v>
      </c>
      <c r="G8" s="16">
        <v>59</v>
      </c>
      <c r="H8" s="14">
        <f t="shared" si="0"/>
        <v>24500</v>
      </c>
    </row>
    <row r="9" spans="1:10" ht="15.95" customHeight="1" x14ac:dyDescent="0.25">
      <c r="A9" s="9" t="s">
        <v>31</v>
      </c>
      <c r="B9" s="9">
        <v>464555</v>
      </c>
      <c r="C9" s="9" t="s">
        <v>138</v>
      </c>
      <c r="D9" s="13">
        <v>20300</v>
      </c>
      <c r="E9" s="10" t="s">
        <v>19</v>
      </c>
      <c r="F9" s="13">
        <v>50000</v>
      </c>
      <c r="G9" s="16">
        <v>15</v>
      </c>
      <c r="H9" s="14">
        <f t="shared" si="0"/>
        <v>29700</v>
      </c>
    </row>
    <row r="10" spans="1:10" ht="15.95" customHeight="1" x14ac:dyDescent="0.25">
      <c r="A10" s="9" t="s">
        <v>32</v>
      </c>
      <c r="B10" s="9">
        <v>464556</v>
      </c>
      <c r="C10" s="9" t="s">
        <v>142</v>
      </c>
      <c r="D10" s="13">
        <v>80000</v>
      </c>
      <c r="E10" s="10" t="s">
        <v>12</v>
      </c>
      <c r="F10" s="13">
        <v>15000</v>
      </c>
      <c r="G10" s="16">
        <v>11</v>
      </c>
      <c r="H10" s="14">
        <f t="shared" si="0"/>
        <v>-65000</v>
      </c>
    </row>
    <row r="11" spans="1:10" ht="15.95" customHeight="1" x14ac:dyDescent="0.25">
      <c r="A11" s="9" t="s">
        <v>33</v>
      </c>
      <c r="B11" s="9">
        <v>464557</v>
      </c>
      <c r="C11" s="9" t="s">
        <v>143</v>
      </c>
      <c r="D11" s="13">
        <v>7400</v>
      </c>
      <c r="E11" s="10" t="s">
        <v>13</v>
      </c>
      <c r="F11" s="13">
        <v>17000</v>
      </c>
      <c r="G11" s="16">
        <v>9</v>
      </c>
      <c r="H11" s="14">
        <f t="shared" si="0"/>
        <v>9600</v>
      </c>
    </row>
    <row r="12" spans="1:10" ht="15.95" customHeight="1" x14ac:dyDescent="0.25">
      <c r="A12" s="9" t="s">
        <v>34</v>
      </c>
      <c r="B12" s="9">
        <v>464558</v>
      </c>
      <c r="C12" s="9" t="s">
        <v>144</v>
      </c>
      <c r="D12" s="13">
        <v>5600</v>
      </c>
      <c r="E12" s="10" t="s">
        <v>11</v>
      </c>
      <c r="F12" s="13">
        <v>15000</v>
      </c>
      <c r="G12" s="16">
        <v>17</v>
      </c>
      <c r="H12" s="14">
        <f t="shared" si="0"/>
        <v>9400</v>
      </c>
    </row>
    <row r="13" spans="1:10" ht="15.95" customHeight="1" x14ac:dyDescent="0.25">
      <c r="A13" s="9" t="s">
        <v>35</v>
      </c>
      <c r="B13" s="9">
        <v>464559</v>
      </c>
      <c r="C13" s="9" t="s">
        <v>145</v>
      </c>
      <c r="D13" s="13">
        <v>6600</v>
      </c>
      <c r="E13" s="10" t="s">
        <v>10</v>
      </c>
      <c r="F13" s="13">
        <v>15000</v>
      </c>
      <c r="G13" s="16">
        <v>27</v>
      </c>
      <c r="H13" s="14">
        <f t="shared" si="0"/>
        <v>8400</v>
      </c>
    </row>
    <row r="14" spans="1:10" ht="15.95" customHeight="1" x14ac:dyDescent="0.25">
      <c r="A14" s="9" t="s">
        <v>36</v>
      </c>
      <c r="B14" s="9">
        <v>464560</v>
      </c>
      <c r="C14" s="9" t="s">
        <v>146</v>
      </c>
      <c r="D14" s="13">
        <v>9000</v>
      </c>
      <c r="E14" s="10" t="s">
        <v>149</v>
      </c>
      <c r="F14" s="13">
        <v>20000</v>
      </c>
      <c r="G14" s="16">
        <v>2</v>
      </c>
      <c r="H14" s="14">
        <f t="shared" si="0"/>
        <v>11000</v>
      </c>
    </row>
    <row r="15" spans="1:10" ht="15.95" customHeight="1" x14ac:dyDescent="0.25">
      <c r="A15" s="9" t="s">
        <v>37</v>
      </c>
      <c r="B15" s="9">
        <v>464561</v>
      </c>
      <c r="C15" s="9" t="s">
        <v>147</v>
      </c>
      <c r="D15" s="13">
        <v>6000</v>
      </c>
      <c r="E15" s="10" t="s">
        <v>150</v>
      </c>
      <c r="F15" s="13">
        <v>15000</v>
      </c>
      <c r="G15" s="16">
        <v>33</v>
      </c>
      <c r="H15" s="14">
        <f t="shared" si="0"/>
        <v>9000</v>
      </c>
    </row>
    <row r="16" spans="1:10" ht="15.95" customHeight="1" x14ac:dyDescent="0.25">
      <c r="A16" s="9" t="s">
        <v>38</v>
      </c>
      <c r="B16" s="9">
        <v>464562</v>
      </c>
      <c r="C16" s="21" t="s">
        <v>193</v>
      </c>
      <c r="D16" s="18">
        <v>5500</v>
      </c>
      <c r="E16" s="19" t="s">
        <v>194</v>
      </c>
      <c r="F16" s="18">
        <v>12000</v>
      </c>
      <c r="G16" s="20">
        <v>72</v>
      </c>
      <c r="H16" s="14">
        <f t="shared" si="0"/>
        <v>6500</v>
      </c>
    </row>
    <row r="17" spans="1:8" ht="15.95" customHeight="1" x14ac:dyDescent="0.25">
      <c r="A17" s="9" t="s">
        <v>39</v>
      </c>
      <c r="B17" s="9">
        <v>464563</v>
      </c>
      <c r="C17" s="9" t="s">
        <v>148</v>
      </c>
      <c r="D17" s="13">
        <v>9500</v>
      </c>
      <c r="E17" s="10" t="s">
        <v>151</v>
      </c>
      <c r="F17" s="13">
        <v>10000</v>
      </c>
      <c r="G17" s="16">
        <v>14</v>
      </c>
      <c r="H17" s="14">
        <f t="shared" si="0"/>
        <v>500</v>
      </c>
    </row>
    <row r="18" spans="1:8" ht="15.95" customHeight="1" x14ac:dyDescent="0.25">
      <c r="A18" s="9" t="s">
        <v>40</v>
      </c>
      <c r="B18" s="9">
        <v>464564</v>
      </c>
      <c r="C18" s="9" t="s">
        <v>152</v>
      </c>
      <c r="D18" s="13">
        <v>31600</v>
      </c>
      <c r="E18" s="10" t="s">
        <v>156</v>
      </c>
      <c r="F18" s="13">
        <v>12000</v>
      </c>
      <c r="G18" s="16">
        <v>11</v>
      </c>
      <c r="H18" s="14">
        <f t="shared" si="0"/>
        <v>-19600</v>
      </c>
    </row>
    <row r="19" spans="1:8" ht="15.95" customHeight="1" x14ac:dyDescent="0.25">
      <c r="A19" s="9" t="s">
        <v>41</v>
      </c>
      <c r="B19" s="9">
        <v>464565</v>
      </c>
      <c r="C19" s="9" t="s">
        <v>153</v>
      </c>
      <c r="D19" s="13">
        <v>5800</v>
      </c>
      <c r="E19" s="10" t="s">
        <v>9</v>
      </c>
      <c r="F19" s="13">
        <v>10000</v>
      </c>
      <c r="G19" s="16">
        <v>16</v>
      </c>
      <c r="H19" s="14">
        <f t="shared" si="0"/>
        <v>4200</v>
      </c>
    </row>
    <row r="20" spans="1:8" ht="15.95" customHeight="1" x14ac:dyDescent="0.25">
      <c r="A20" s="9" t="s">
        <v>42</v>
      </c>
      <c r="B20" s="9">
        <v>464566</v>
      </c>
      <c r="C20" s="9" t="s">
        <v>154</v>
      </c>
      <c r="D20" s="13">
        <v>4100</v>
      </c>
      <c r="E20" s="10" t="s">
        <v>8</v>
      </c>
      <c r="F20" s="13">
        <v>10000</v>
      </c>
      <c r="G20" s="16">
        <v>17</v>
      </c>
      <c r="H20" s="14">
        <f t="shared" si="0"/>
        <v>5900</v>
      </c>
    </row>
    <row r="21" spans="1:8" ht="15.95" customHeight="1" x14ac:dyDescent="0.25">
      <c r="A21" s="9" t="s">
        <v>43</v>
      </c>
      <c r="B21" s="9">
        <v>464567</v>
      </c>
      <c r="C21" s="9" t="s">
        <v>155</v>
      </c>
      <c r="D21" s="13">
        <v>4000</v>
      </c>
      <c r="E21" s="10" t="s">
        <v>8</v>
      </c>
      <c r="F21" s="13">
        <v>10000</v>
      </c>
      <c r="G21" s="16">
        <v>13</v>
      </c>
      <c r="H21" s="14">
        <f t="shared" si="0"/>
        <v>6000</v>
      </c>
    </row>
    <row r="22" spans="1:8" ht="15.95" customHeight="1" x14ac:dyDescent="0.25">
      <c r="A22" s="9" t="s">
        <v>44</v>
      </c>
      <c r="B22" s="9">
        <v>464568</v>
      </c>
      <c r="C22" s="9" t="s">
        <v>158</v>
      </c>
      <c r="D22" s="13">
        <v>10500</v>
      </c>
      <c r="E22" s="10" t="s">
        <v>14</v>
      </c>
      <c r="F22" s="13">
        <v>18000</v>
      </c>
      <c r="G22" s="16">
        <v>11</v>
      </c>
      <c r="H22" s="14">
        <f t="shared" si="0"/>
        <v>7500</v>
      </c>
    </row>
    <row r="23" spans="1:8" ht="15.95" customHeight="1" x14ac:dyDescent="0.25">
      <c r="A23" s="9" t="s">
        <v>45</v>
      </c>
      <c r="B23" s="9">
        <v>464569</v>
      </c>
      <c r="C23" s="9" t="s">
        <v>159</v>
      </c>
      <c r="D23" s="13">
        <v>13000</v>
      </c>
      <c r="E23" s="10" t="s">
        <v>163</v>
      </c>
      <c r="F23" s="13">
        <v>25000</v>
      </c>
      <c r="G23" s="16">
        <v>30</v>
      </c>
      <c r="H23" s="14">
        <f t="shared" si="0"/>
        <v>12000</v>
      </c>
    </row>
    <row r="24" spans="1:8" ht="15.95" customHeight="1" x14ac:dyDescent="0.25">
      <c r="A24" s="9" t="s">
        <v>46</v>
      </c>
      <c r="B24" s="9">
        <v>464570</v>
      </c>
      <c r="C24" s="9" t="s">
        <v>160</v>
      </c>
      <c r="D24" s="13">
        <v>21000</v>
      </c>
      <c r="E24" s="10" t="s">
        <v>164</v>
      </c>
      <c r="F24" s="13">
        <v>50000</v>
      </c>
      <c r="G24" s="16">
        <v>12</v>
      </c>
      <c r="H24" s="14">
        <f t="shared" si="0"/>
        <v>29000</v>
      </c>
    </row>
    <row r="25" spans="1:8" ht="15.95" customHeight="1" x14ac:dyDescent="0.25">
      <c r="A25" s="9" t="s">
        <v>47</v>
      </c>
      <c r="B25" s="9">
        <v>464571</v>
      </c>
      <c r="C25" s="9" t="s">
        <v>161</v>
      </c>
      <c r="D25" s="13">
        <v>10750</v>
      </c>
      <c r="E25" s="10" t="s">
        <v>15</v>
      </c>
      <c r="F25" s="13">
        <v>25000</v>
      </c>
      <c r="G25" s="16">
        <v>13</v>
      </c>
      <c r="H25" s="14">
        <f t="shared" si="0"/>
        <v>14250</v>
      </c>
    </row>
    <row r="26" spans="1:8" ht="15.95" customHeight="1" x14ac:dyDescent="0.25">
      <c r="A26" s="9" t="s">
        <v>48</v>
      </c>
      <c r="B26" s="9">
        <v>464572</v>
      </c>
      <c r="C26" s="9" t="s">
        <v>162</v>
      </c>
      <c r="D26" s="13">
        <v>35000</v>
      </c>
      <c r="E26" s="10" t="s">
        <v>165</v>
      </c>
      <c r="F26" s="13">
        <v>55000</v>
      </c>
      <c r="G26" s="16">
        <v>10</v>
      </c>
      <c r="H26" s="14">
        <f t="shared" si="0"/>
        <v>20000</v>
      </c>
    </row>
    <row r="27" spans="1:8" ht="15.95" customHeight="1" x14ac:dyDescent="0.25">
      <c r="A27" s="9"/>
      <c r="B27" s="9"/>
      <c r="C27" s="9"/>
      <c r="D27" s="13"/>
      <c r="E27" s="10"/>
      <c r="F27" s="13"/>
      <c r="G27" s="16"/>
    </row>
    <row r="28" spans="1:8" ht="15.95" customHeight="1" x14ac:dyDescent="0.25">
      <c r="A28" s="9"/>
      <c r="B28" s="9"/>
      <c r="C28" s="9"/>
      <c r="D28" s="13"/>
      <c r="E28" s="10"/>
      <c r="F28" s="13"/>
      <c r="G28" s="16"/>
    </row>
    <row r="29" spans="1:8" ht="15.95" customHeight="1" x14ac:dyDescent="0.25">
      <c r="A29" s="9"/>
      <c r="B29" s="9"/>
      <c r="C29" s="9"/>
      <c r="D29" s="13"/>
      <c r="E29" s="10"/>
      <c r="F29" s="13"/>
      <c r="G29" s="16"/>
    </row>
    <row r="30" spans="1:8" ht="15.95" customHeight="1" x14ac:dyDescent="0.25">
      <c r="A30" s="9"/>
      <c r="B30" s="9"/>
      <c r="C30" s="9"/>
      <c r="D30" s="13"/>
      <c r="E30" s="10"/>
      <c r="F30" s="13"/>
      <c r="G30" s="16"/>
    </row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</sheetData>
  <phoneticPr fontId="3" type="noConversion"/>
  <conditionalFormatting sqref="A1:A1048576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" footer="0"/>
  <pageSetup scale="80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30BF-2E6F-4A8E-A02A-A6449446CE75}">
  <dimension ref="A1:J973"/>
  <sheetViews>
    <sheetView workbookViewId="0">
      <pane ySplit="3" topLeftCell="A4" activePane="bottomLeft" state="frozen"/>
      <selection pane="bottomLeft" activeCell="C17" sqref="C17"/>
    </sheetView>
  </sheetViews>
  <sheetFormatPr defaultColWidth="14.42578125" defaultRowHeight="15" customHeight="1" x14ac:dyDescent="0.25"/>
  <cols>
    <col min="1" max="1" width="13.42578125" customWidth="1"/>
    <col min="2" max="2" width="19.140625" customWidth="1"/>
    <col min="3" max="3" width="40.140625" customWidth="1"/>
    <col min="4" max="4" width="17.28515625" style="14" customWidth="1"/>
    <col min="5" max="5" width="14" customWidth="1"/>
    <col min="6" max="6" width="16.85546875" style="14" customWidth="1"/>
    <col min="7" max="7" width="10.5703125" style="15" customWidth="1"/>
    <col min="8" max="8" width="14.7109375" customWidth="1"/>
    <col min="9" max="26" width="8.7109375" customWidth="1"/>
  </cols>
  <sheetData>
    <row r="1" spans="1:10" ht="14.25" customHeight="1" x14ac:dyDescent="0.25">
      <c r="B1" s="1"/>
      <c r="C1" s="2" t="s">
        <v>172</v>
      </c>
      <c r="D1" s="11"/>
      <c r="E1" s="3"/>
      <c r="F1" s="11"/>
    </row>
    <row r="2" spans="1:10" ht="14.25" customHeight="1" x14ac:dyDescent="0.25">
      <c r="B2" s="1"/>
      <c r="D2" s="11"/>
      <c r="E2" s="3"/>
      <c r="F2" s="11"/>
      <c r="J2" s="4"/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2" t="s">
        <v>4</v>
      </c>
      <c r="E3" s="7" t="s">
        <v>169</v>
      </c>
      <c r="F3" s="12" t="s">
        <v>6</v>
      </c>
      <c r="G3" s="5" t="s">
        <v>7</v>
      </c>
      <c r="J3" s="8"/>
    </row>
    <row r="4" spans="1:10" ht="15.95" customHeight="1" x14ac:dyDescent="0.25">
      <c r="A4" s="9" t="s">
        <v>175</v>
      </c>
      <c r="B4" s="9">
        <v>788452</v>
      </c>
      <c r="C4" s="9" t="s">
        <v>173</v>
      </c>
      <c r="D4" s="13">
        <v>13500</v>
      </c>
      <c r="E4" s="10" t="s">
        <v>174</v>
      </c>
      <c r="F4" s="13">
        <v>28000</v>
      </c>
      <c r="G4" s="16">
        <v>25</v>
      </c>
      <c r="H4" s="14">
        <f>F4-D4</f>
        <v>14500</v>
      </c>
    </row>
    <row r="5" spans="1:10" ht="15.95" customHeight="1" x14ac:dyDescent="0.25">
      <c r="A5" s="9"/>
      <c r="B5" s="9"/>
      <c r="C5" s="9"/>
      <c r="D5" s="13"/>
      <c r="E5" s="10"/>
      <c r="F5" s="13"/>
      <c r="G5" s="16"/>
      <c r="H5" s="14"/>
    </row>
    <row r="6" spans="1:10" ht="15.95" customHeight="1" x14ac:dyDescent="0.25">
      <c r="A6" s="9"/>
      <c r="B6" s="9"/>
      <c r="C6" s="9"/>
      <c r="D6" s="13"/>
      <c r="E6" s="10"/>
      <c r="F6" s="13"/>
      <c r="G6" s="16"/>
      <c r="H6" s="14"/>
    </row>
    <row r="7" spans="1:10" ht="15.95" customHeight="1" x14ac:dyDescent="0.25">
      <c r="A7" s="9"/>
      <c r="B7" s="9"/>
      <c r="C7" s="9"/>
      <c r="D7" s="13"/>
      <c r="E7" s="10"/>
      <c r="F7" s="13"/>
      <c r="G7" s="16"/>
      <c r="H7" s="14"/>
    </row>
    <row r="8" spans="1:10" ht="15.95" customHeight="1" x14ac:dyDescent="0.25">
      <c r="A8" s="9"/>
      <c r="B8" s="9"/>
      <c r="C8" s="9"/>
      <c r="D8" s="13"/>
      <c r="E8" s="10"/>
      <c r="F8" s="13"/>
      <c r="G8" s="16"/>
      <c r="H8" s="14"/>
    </row>
    <row r="9" spans="1:10" ht="15.95" customHeight="1" x14ac:dyDescent="0.25">
      <c r="A9" s="9"/>
      <c r="B9" s="9"/>
      <c r="C9" s="9"/>
      <c r="D9" s="13"/>
      <c r="E9" s="10"/>
      <c r="F9" s="13"/>
      <c r="G9" s="16"/>
      <c r="H9" s="14"/>
    </row>
    <row r="10" spans="1:10" ht="15.95" customHeight="1" x14ac:dyDescent="0.25">
      <c r="A10" s="9"/>
      <c r="B10" s="9"/>
      <c r="C10" s="9"/>
      <c r="D10" s="13"/>
      <c r="E10" s="10"/>
      <c r="F10" s="13"/>
      <c r="G10" s="16"/>
      <c r="H10" s="14"/>
    </row>
    <row r="11" spans="1:10" ht="15.95" customHeight="1" x14ac:dyDescent="0.25">
      <c r="A11" s="9"/>
      <c r="B11" s="9"/>
      <c r="C11" s="9"/>
      <c r="D11" s="13"/>
      <c r="E11" s="10"/>
      <c r="F11" s="13"/>
      <c r="G11" s="16"/>
      <c r="H11" s="14"/>
    </row>
    <row r="12" spans="1:10" ht="15.95" customHeight="1" x14ac:dyDescent="0.25">
      <c r="A12" s="9"/>
      <c r="B12" s="9"/>
      <c r="C12" s="9"/>
      <c r="D12" s="13"/>
      <c r="E12" s="10"/>
      <c r="F12" s="13"/>
      <c r="G12" s="16"/>
      <c r="H12" s="14"/>
    </row>
    <row r="13" spans="1:10" ht="15.95" customHeight="1" x14ac:dyDescent="0.25">
      <c r="A13" s="9"/>
      <c r="B13" s="9"/>
      <c r="C13" s="9"/>
      <c r="D13" s="13"/>
      <c r="E13" s="10"/>
      <c r="F13" s="13"/>
      <c r="G13" s="16"/>
      <c r="H13" s="14"/>
    </row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scale="8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Baru</vt:lpstr>
      <vt:lpstr>Yuta</vt:lpstr>
      <vt:lpstr>Unnu</vt:lpstr>
      <vt:lpstr>Onda</vt:lpstr>
      <vt:lpstr>Norgen</vt:lpstr>
      <vt:lpstr>Campur</vt:lpstr>
      <vt:lpstr>Kompresor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2026-05-23T03:43:43Z</dcterms:modified>
</cp:coreProperties>
</file>