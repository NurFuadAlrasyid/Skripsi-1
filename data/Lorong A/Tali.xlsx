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Enrekang Elektronik\Data Item Barang\Lorong A\"/>
    </mc:Choice>
  </mc:AlternateContent>
  <xr:revisionPtr revIDLastSave="0" documentId="13_ncr:1_{25C641D3-6451-49EF-8CA8-C1D294022D68}" xr6:coauthVersionLast="47" xr6:coauthVersionMax="47" xr10:uidLastSave="{00000000-0000-0000-0000-000000000000}"/>
  <bookViews>
    <workbookView xWindow="-120" yWindow="-120" windowWidth="29040" windowHeight="15840" activeTab="2" xr2:uid="{C59D71DA-7F0E-4333-8576-EDA8EF923B1F}"/>
  </bookViews>
  <sheets>
    <sheet name="Puso" sheetId="6" r:id="rId1"/>
    <sheet name="NPH" sheetId="4" r:id="rId2"/>
    <sheet name="Qrope" sheetId="5" r:id="rId3"/>
    <sheet name="Campur" sheetId="3" r:id="rId4"/>
    <sheet name="Sheet1" sheetId="1" r:id="rId5"/>
    <sheet name="30 M" sheetId="2" r:id="rId6"/>
  </sheets>
  <definedNames>
    <definedName name="_xlnm._FilterDatabase" localSheetId="1" hidden="1">NPH!$A$1:$H$42</definedName>
    <definedName name="_xlnm._FilterDatabase" localSheetId="0" hidden="1">Puso!$A$3:$N$25</definedName>
    <definedName name="_xlnm._FilterDatabase" localSheetId="2" hidden="1">Qrope!$A$3:$G$16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5" l="1"/>
  <c r="H6" i="5"/>
  <c r="H4" i="5"/>
  <c r="H18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N2" authorId="0" shapeId="0" xr:uid="{659FA75C-0678-432F-8E3B-136503D322A6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O2" authorId="0" shapeId="0" xr:uid="{978C72D7-AD87-4808-8B32-183585CFE074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N2" authorId="0" shapeId="0" xr:uid="{39B7F0AB-EAAB-4BDF-9B50-DBA8C5B190FE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O2" authorId="0" shapeId="0" xr:uid="{7FB4F301-81C5-48DE-95F7-AE68BF707D9A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K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  <author>USER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1" shapeId="0" xr:uid="{661639B2-8D57-4755-9215-97208F078B60}">
      <text>
        <r>
          <rPr>
            <b/>
            <sz val="9"/>
            <color indexed="81"/>
            <rFont val="Tahoma"/>
            <charset val="1"/>
          </rPr>
          <t>Ganti Harga</t>
        </r>
      </text>
    </comment>
    <comment ref="F14" authorId="1" shapeId="0" xr:uid="{5EC4348D-8487-4800-84AB-97FFD3D1A049}">
      <text>
        <r>
          <rPr>
            <b/>
            <sz val="9"/>
            <color indexed="81"/>
            <rFont val="Tahoma"/>
            <charset val="1"/>
          </rPr>
          <t>Ganti Harga</t>
        </r>
      </text>
    </comment>
    <comment ref="F15" authorId="1" shapeId="0" xr:uid="{898F35CC-53C8-4AF5-A297-C619B3417859}">
      <text>
        <r>
          <rPr>
            <b/>
            <sz val="9"/>
            <color indexed="81"/>
            <rFont val="Tahoma"/>
            <charset val="1"/>
          </rPr>
          <t>Ganti Harga</t>
        </r>
      </text>
    </comment>
  </commentList>
</comments>
</file>

<file path=xl/sharedStrings.xml><?xml version="1.0" encoding="utf-8"?>
<sst xmlns="http://schemas.openxmlformats.org/spreadsheetml/2006/main" count="419" uniqueCount="286">
  <si>
    <t>Kode Item</t>
  </si>
  <si>
    <t>Barcode</t>
  </si>
  <si>
    <t>Nama Item</t>
  </si>
  <si>
    <t>Stok Awal</t>
  </si>
  <si>
    <t xml:space="preserve">TALI </t>
  </si>
  <si>
    <t>Tali 10mm Putih</t>
  </si>
  <si>
    <t>Tali 10mm Hijau</t>
  </si>
  <si>
    <t>Tali 10mm Biru</t>
  </si>
  <si>
    <t>Tali 9mm Kuning</t>
  </si>
  <si>
    <t>Tali 9mm Hijau</t>
  </si>
  <si>
    <t>Tali 9mm Biru</t>
  </si>
  <si>
    <t>Tali 8mm Putih</t>
  </si>
  <si>
    <t>Tali 8mm Kuning</t>
  </si>
  <si>
    <t>Tali 8mm Biru</t>
  </si>
  <si>
    <t>Tali 7mm Putih</t>
  </si>
  <si>
    <t>Tali 7mm Hijau</t>
  </si>
  <si>
    <t>Tali 7mm Biru</t>
  </si>
  <si>
    <t>Tali 6mm NPH Biru</t>
  </si>
  <si>
    <t>Tali 6mm Tisson Biru</t>
  </si>
  <si>
    <t>Tali 6mm Kuning</t>
  </si>
  <si>
    <t>Tali 6mm Putih</t>
  </si>
  <si>
    <t>Tali 5mm NPH Biru</t>
  </si>
  <si>
    <t>Tali 5mm Tisson Biru</t>
  </si>
  <si>
    <t>Tali 5mm Biru</t>
  </si>
  <si>
    <t>Tali 5mm Putih</t>
  </si>
  <si>
    <t>Tali 5mm Orange</t>
  </si>
  <si>
    <t>Tali 5mm Hitam</t>
  </si>
  <si>
    <t>Tali 5mm Kuning</t>
  </si>
  <si>
    <t>Tali 4mm Orange</t>
  </si>
  <si>
    <t>Tali 4mm Biru</t>
  </si>
  <si>
    <t>Tali 3mm Kuning</t>
  </si>
  <si>
    <t>Tali 3mm Biru</t>
  </si>
  <si>
    <t>Tali 3mm Putih</t>
  </si>
  <si>
    <t>Tali 2mm Biru</t>
  </si>
  <si>
    <t>UZ-IND</t>
  </si>
  <si>
    <t>SV-NPH</t>
  </si>
  <si>
    <t>SV-IND</t>
  </si>
  <si>
    <t>SX-NPH</t>
  </si>
  <si>
    <t>SU-NPH</t>
  </si>
  <si>
    <t>TX-IND</t>
  </si>
  <si>
    <t>Tali 6mm Hijau</t>
  </si>
  <si>
    <t>SV-SBA</t>
  </si>
  <si>
    <t>STU-NPH</t>
  </si>
  <si>
    <t>TZ-SBA</t>
  </si>
  <si>
    <t>Tali 6mm Orange</t>
  </si>
  <si>
    <t>Tali 6mm Hitam</t>
  </si>
  <si>
    <t>TWV-IND</t>
  </si>
  <si>
    <t>TRT</t>
  </si>
  <si>
    <t>TXR-ING</t>
  </si>
  <si>
    <t>SW-SBA</t>
  </si>
  <si>
    <t>TXR-IND</t>
  </si>
  <si>
    <t>TYV-MP</t>
  </si>
  <si>
    <t>SW-NPH</t>
  </si>
  <si>
    <t>TXU</t>
  </si>
  <si>
    <t>QUZ-NPH</t>
  </si>
  <si>
    <t>Harga Pokok/Kg</t>
  </si>
  <si>
    <t>Harga Jual/Kg</t>
  </si>
  <si>
    <t>Talik14</t>
  </si>
  <si>
    <t>Talik13</t>
  </si>
  <si>
    <t>Talik12</t>
  </si>
  <si>
    <t>Talik11</t>
  </si>
  <si>
    <t>Talik10</t>
  </si>
  <si>
    <t>Talik9</t>
  </si>
  <si>
    <t>Talik8</t>
  </si>
  <si>
    <t>Talik7</t>
  </si>
  <si>
    <t>Talik6</t>
  </si>
  <si>
    <t>Talik5</t>
  </si>
  <si>
    <t>Talik4</t>
  </si>
  <si>
    <t>Talik3</t>
  </si>
  <si>
    <t>Talik2</t>
  </si>
  <si>
    <t>Talik1</t>
  </si>
  <si>
    <t>Harga Jual</t>
  </si>
  <si>
    <t>Harga Pokok</t>
  </si>
  <si>
    <t>Kode Barang/Kg</t>
  </si>
  <si>
    <t>Harga /Rol</t>
  </si>
  <si>
    <t>TR-NPH</t>
  </si>
  <si>
    <t>Tali Nylon Bintik NPH 9mm 8,8kg</t>
  </si>
  <si>
    <t>Tali Nylon Bintik NPH 9mm 8,6kg</t>
  </si>
  <si>
    <t>Tali Nylon Bintik NPH 10mm 10,6kg</t>
  </si>
  <si>
    <t>Tali Nylon Bintik NPH 10mm 10,5kg</t>
  </si>
  <si>
    <t>Tali Nylon Bintik NPH 12mm 14,2kg</t>
  </si>
  <si>
    <t>Tali Nylon Bintik NPH 12mm 14,8kg</t>
  </si>
  <si>
    <t>Tali Nylon Bintik NPH 12mm 15kg</t>
  </si>
  <si>
    <t>Kode Barang</t>
  </si>
  <si>
    <t>SZ-SMK</t>
  </si>
  <si>
    <t>Tali Seagulll 1,5mm</t>
  </si>
  <si>
    <t>Tali Seagulll 1mm</t>
  </si>
  <si>
    <t>Tali Puso 20mm Hijau Bintik 44,3 Kg</t>
  </si>
  <si>
    <t>TU-BB</t>
  </si>
  <si>
    <t>Tali Puso 10mm Biru 10 Kg</t>
  </si>
  <si>
    <t>Tali Puso 12mm Hijau Bintik 14,5 Kg</t>
  </si>
  <si>
    <t>Tali Puso 14mm Hijau Bintik 20 Kg</t>
  </si>
  <si>
    <t>Tali Puso 14mm Biru 20 Kg</t>
  </si>
  <si>
    <t>Tali Puso 16mm Biru 25,6 Kg</t>
  </si>
  <si>
    <t>Tali Puso 18mm Hijau Bintik 34,8 Kg</t>
  </si>
  <si>
    <t>Tali Puso 20mm Bintik Putih 44,3 Kg</t>
  </si>
  <si>
    <t>Tali Puso 3mm Biru 0,9 Kg</t>
  </si>
  <si>
    <t>Tali Puso 4mm Biru 1,7 Kg</t>
  </si>
  <si>
    <t>Tali Puso 4mm Hijau Bintik 1,7 Kg</t>
  </si>
  <si>
    <t>Tali Puso 5mm Hijau Bintik 2,7 Kg</t>
  </si>
  <si>
    <t>Tali Puso 6mm Biru 3,6 Kg</t>
  </si>
  <si>
    <t>Tali Puso 4mm Putih Bintik 1,7 Kg</t>
  </si>
  <si>
    <t>Tali Puso 6mm Putih Bintik 3,6 Kg</t>
  </si>
  <si>
    <t>Tali Puso 8mm Putih Bintik 6,6 Kg</t>
  </si>
  <si>
    <t>Tali Puso 10mm Putih Bintik 10 Kg</t>
  </si>
  <si>
    <t>Tali Puso 12mm Putih Bintik 14,5 Kg</t>
  </si>
  <si>
    <t>Tali Puso 14mm Putih Bintik  20 Kg</t>
  </si>
  <si>
    <t>Tali Puso 16mm Putih Bintik 25,6 Kg</t>
  </si>
  <si>
    <t>Tali Puso 18mm Putih Bintik 34,8 Kg</t>
  </si>
  <si>
    <t>Tali Puso 9mm Hijau 8,5 Kg</t>
  </si>
  <si>
    <t>TALI 30M</t>
  </si>
  <si>
    <t>Stok</t>
  </si>
  <si>
    <t>Tali 3mm Seagull Biru 30M</t>
  </si>
  <si>
    <t>Tali 4mm Seagull Biru 30M</t>
  </si>
  <si>
    <t>Tali 5mm Seagull Biru 30M</t>
  </si>
  <si>
    <t>Tali 6mm Seagull Biru 30M</t>
  </si>
  <si>
    <t>Tali 6mm Seagull Orange 30M</t>
  </si>
  <si>
    <t>Tali 6mm Seagull Hijau 30M</t>
  </si>
  <si>
    <t>Tali 7mm Seagull Biru 30M</t>
  </si>
  <si>
    <t>Tali 7mm Seagull Orange 30M</t>
  </si>
  <si>
    <t>Tali 8mm Seagull Kuning 30M</t>
  </si>
  <si>
    <t>Tali 8mm Qyrope Putih 30M</t>
  </si>
  <si>
    <t>Tali 9mm Seagull Biru 30M</t>
  </si>
  <si>
    <t>Tali 9mm Qyrope Putih 30M</t>
  </si>
  <si>
    <t>Tali 10mm Seagull Biru 30M</t>
  </si>
  <si>
    <t>Tali 10mm Qyrope Putih 30M</t>
  </si>
  <si>
    <t>QQ-IND</t>
  </si>
  <si>
    <t>QX-IND</t>
  </si>
  <si>
    <t>RVU-IND</t>
  </si>
  <si>
    <t>VRU-IND</t>
  </si>
  <si>
    <t>VUS-IND</t>
  </si>
  <si>
    <t>WX-IND</t>
  </si>
  <si>
    <t>XZ-IND</t>
  </si>
  <si>
    <t>YU-IND</t>
  </si>
  <si>
    <t>YSU-IND</t>
  </si>
  <si>
    <t>Sudah Upload Di Sistem</t>
  </si>
  <si>
    <t>Tali Qyrope 4mm Orange 1,6 Kg</t>
  </si>
  <si>
    <t>VQ-IND</t>
  </si>
  <si>
    <t>Tali Seagull 7mm Biru 30M</t>
  </si>
  <si>
    <t>Talik15</t>
  </si>
  <si>
    <t>Tali Qyrope 8mm Putih 7,2 Kg</t>
  </si>
  <si>
    <t>VZQ-IND</t>
  </si>
  <si>
    <t>Tali Qyrope 8mm Putih 7 Kg</t>
  </si>
  <si>
    <t>Tali Qyrope 10mm Putih 10,1 Kg</t>
  </si>
  <si>
    <t>VQ-SBA</t>
  </si>
  <si>
    <t>Tali Tisson Premium Biru 5mm 3,2 Kg</t>
  </si>
  <si>
    <t>Tali Tisson Premium Biru 5mm 3 Kg</t>
  </si>
  <si>
    <t>Tali NPH 6mm Kuning 3,6 Kg</t>
  </si>
  <si>
    <t>UZ-NPH</t>
  </si>
  <si>
    <t>TALI PUSO</t>
  </si>
  <si>
    <t>qyrope1</t>
  </si>
  <si>
    <t>qyrope2</t>
  </si>
  <si>
    <t>qyrope3</t>
  </si>
  <si>
    <t>qyrope4</t>
  </si>
  <si>
    <t>seagull1</t>
  </si>
  <si>
    <t>seagull2</t>
  </si>
  <si>
    <t>seagull3</t>
  </si>
  <si>
    <t>puso1</t>
  </si>
  <si>
    <t>puso11</t>
  </si>
  <si>
    <t>puso6</t>
  </si>
  <si>
    <t>puso3</t>
  </si>
  <si>
    <t>puso15</t>
  </si>
  <si>
    <t>puso4</t>
  </si>
  <si>
    <t>puso10</t>
  </si>
  <si>
    <t>puso14</t>
  </si>
  <si>
    <t>puso8</t>
  </si>
  <si>
    <t>puso12</t>
  </si>
  <si>
    <t>puso9</t>
  </si>
  <si>
    <t>puso2</t>
  </si>
  <si>
    <t>puso5</t>
  </si>
  <si>
    <t>puso7</t>
  </si>
  <si>
    <t>puso13</t>
  </si>
  <si>
    <t>puso16</t>
  </si>
  <si>
    <t>puso17</t>
  </si>
  <si>
    <t>puso18</t>
  </si>
  <si>
    <t>puso19</t>
  </si>
  <si>
    <t>puso20</t>
  </si>
  <si>
    <t>puso21</t>
  </si>
  <si>
    <t>puso22</t>
  </si>
  <si>
    <t>nph1</t>
  </si>
  <si>
    <t>nph2</t>
  </si>
  <si>
    <t>nph3</t>
  </si>
  <si>
    <t>nph4</t>
  </si>
  <si>
    <t>nph5</t>
  </si>
  <si>
    <t>nph6</t>
  </si>
  <si>
    <t>nph7</t>
  </si>
  <si>
    <t>nph8</t>
  </si>
  <si>
    <t>tali1</t>
  </si>
  <si>
    <t>tali12</t>
  </si>
  <si>
    <t>tali2</t>
  </si>
  <si>
    <t>Tali Qyrope 3mm Putih 1 Kg</t>
  </si>
  <si>
    <t>VZ-IND</t>
  </si>
  <si>
    <t>Tali Qyrope 7mm Putih 6,4 Kg</t>
  </si>
  <si>
    <t>Tali Qyrope 3mm Kuning 1 Kg</t>
  </si>
  <si>
    <t>Tali Qyrope 4mm Kuning 1,7 Kg</t>
  </si>
  <si>
    <t>Tali Qyrope 5mm Kuning 2,6 Kg</t>
  </si>
  <si>
    <t xml:space="preserve">Tali Qyrope 8mm Kuning 6,6 Kg </t>
  </si>
  <si>
    <t>Tali Qyrope 9mm Kuning 8,1 Kg</t>
  </si>
  <si>
    <t>Tali Qyrope 9mm Kuning 8,4 Kg</t>
  </si>
  <si>
    <t>Tali Qyrope 5mm Orange 2,6 Kg</t>
  </si>
  <si>
    <t>Tali Qyrope 6mm Orange 3,8 Kg</t>
  </si>
  <si>
    <t>qyrope5</t>
  </si>
  <si>
    <t>qyrope6</t>
  </si>
  <si>
    <t>qyrope7</t>
  </si>
  <si>
    <t>qyrope8</t>
  </si>
  <si>
    <t>qyrope9</t>
  </si>
  <si>
    <t>qyrope10</t>
  </si>
  <si>
    <t>qyrope11</t>
  </si>
  <si>
    <t>qyrope12</t>
  </si>
  <si>
    <t>qyrope13</t>
  </si>
  <si>
    <t>qyrope14</t>
  </si>
  <si>
    <t>Tali NPH 4mm Biru 1,6 Kg</t>
  </si>
  <si>
    <t>Tali NPH 4mm Biru 1,7 Kg</t>
  </si>
  <si>
    <t>Tali NPH 5mm Biru 2,6 Kg</t>
  </si>
  <si>
    <t>Tali NPH 5mm Biru 2,7 Kg</t>
  </si>
  <si>
    <t>Tali NPH 5mm Biru 2,8 Kg</t>
  </si>
  <si>
    <t>Tali NPH 6mm Biru 3,5 Kg</t>
  </si>
  <si>
    <t>Tali NPH 6mm Biru 3,7 Kg</t>
  </si>
  <si>
    <t>Tali NPH 6mm Biru 3,6 Kg</t>
  </si>
  <si>
    <t>Tali NPH 7mm Biru 5 Kg</t>
  </si>
  <si>
    <t>Tali NPH 8mm Biru 6,4 Kg</t>
  </si>
  <si>
    <t>Tali NPH 8mm Biru 6,6 Kg</t>
  </si>
  <si>
    <t>Tali NPH 8mm Biru 6,8 Kg</t>
  </si>
  <si>
    <t>Tali NPH 3mm Kuning 0,6 Kg</t>
  </si>
  <si>
    <t>Tali NPH 4mm Kuning 1,6 Kg</t>
  </si>
  <si>
    <t>Tali NPH 6mm Kuning 3,5 Kg</t>
  </si>
  <si>
    <t>Tali NPH 6mm Hijau Bintik 3,3 Kg</t>
  </si>
  <si>
    <t>Tali NPH 6mm Hijau 3,4 Kg</t>
  </si>
  <si>
    <t>Tali NPH 7mm Hijau 5 Kg</t>
  </si>
  <si>
    <t>Tali NPH 9mm Hijau 9 Kg</t>
  </si>
  <si>
    <t>nph9</t>
  </si>
  <si>
    <t>nph10</t>
  </si>
  <si>
    <t>nph11</t>
  </si>
  <si>
    <t>nph12</t>
  </si>
  <si>
    <t>nph13</t>
  </si>
  <si>
    <t>nph14</t>
  </si>
  <si>
    <t>nph15</t>
  </si>
  <si>
    <t>nph16</t>
  </si>
  <si>
    <t>nph17</t>
  </si>
  <si>
    <t>nph18</t>
  </si>
  <si>
    <t>nph19</t>
  </si>
  <si>
    <t>nph20</t>
  </si>
  <si>
    <t>nph21</t>
  </si>
  <si>
    <t>nph22</t>
  </si>
  <si>
    <t>nph23</t>
  </si>
  <si>
    <t>nph24</t>
  </si>
  <si>
    <t>nph25</t>
  </si>
  <si>
    <t>nph26</t>
  </si>
  <si>
    <t>nph27</t>
  </si>
  <si>
    <t>nph28</t>
  </si>
  <si>
    <t>Tali 5mm Putih 2,6 Kg</t>
  </si>
  <si>
    <t>UZ-MP</t>
  </si>
  <si>
    <t>Tali 6mm Putih 4,2 Kg</t>
  </si>
  <si>
    <t>VZ-CSB</t>
  </si>
  <si>
    <t>Tali 5mm Biru 2 Kg</t>
  </si>
  <si>
    <t>Tali 5mm Biru 2,3 Kg</t>
  </si>
  <si>
    <t>Tali 6mm Biru 3,6 Kg</t>
  </si>
  <si>
    <t>Tali 6mm Biru 3,9 Kg</t>
  </si>
  <si>
    <t>Tali 5mm Hitam 2,9 Kg</t>
  </si>
  <si>
    <t>VZ-SBA</t>
  </si>
  <si>
    <t>Tali 5mm Hitam 3,1 Kg</t>
  </si>
  <si>
    <t>Tali 5mm Hitam 3,2 Kg</t>
  </si>
  <si>
    <t>Tali 6mm Hitam 4,5 Kg</t>
  </si>
  <si>
    <t>tali3</t>
  </si>
  <si>
    <t>tali4</t>
  </si>
  <si>
    <t>tali5</t>
  </si>
  <si>
    <t>tali6</t>
  </si>
  <si>
    <t>tali7</t>
  </si>
  <si>
    <t>tali8</t>
  </si>
  <si>
    <t>tali9</t>
  </si>
  <si>
    <t>tali10</t>
  </si>
  <si>
    <t>tali11</t>
  </si>
  <si>
    <t xml:space="preserve">Tali Seagull 1mm </t>
  </si>
  <si>
    <t>RY-MP</t>
  </si>
  <si>
    <t>RWU-CTR</t>
  </si>
  <si>
    <t>Tali Seagull 9mm Orange 8,6 Kg</t>
  </si>
  <si>
    <t>seagull4</t>
  </si>
  <si>
    <t>UY-IND</t>
  </si>
  <si>
    <t>qyrope15</t>
  </si>
  <si>
    <t>qyrope16</t>
  </si>
  <si>
    <t>qyrope17</t>
  </si>
  <si>
    <t>qyrope18</t>
  </si>
  <si>
    <t>Tali Qyrope 9mm Putih 8,8 Kg</t>
  </si>
  <si>
    <t>Tali Qyrope 10mm Putih 10,4 Kg</t>
  </si>
  <si>
    <t>Tali Qyrope 10mm Putih 10 Kg</t>
  </si>
  <si>
    <t>Tali Qyrope 10mm Putih 10,2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</si>
</sst>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0" fillId="4" borderId="0" xfId="0" applyFill="1"/>
    <xf numFmtId="0" fontId="0" fillId="0" borderId="1" xfId="0" applyBorder="1"/>
    <xf numFmtId="42" fontId="0" fillId="0" borderId="1" xfId="0" applyNumberFormat="1" applyBorder="1"/>
    <xf numFmtId="0" fontId="0" fillId="5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642E3-5D4E-4E8E-9D64-BB1FBA6EFF7C}">
  <dimension ref="A1:N36"/>
  <sheetViews>
    <sheetView workbookViewId="0">
      <pane ySplit="3" topLeftCell="A4" activePane="bottomLeft" state="frozen"/>
      <selection pane="bottomLeft" activeCell="A4" sqref="A4:A25"/>
    </sheetView>
  </sheetViews>
  <sheetFormatPr defaultRowHeight="15" x14ac:dyDescent="0.25"/>
  <cols>
    <col min="1" max="1" width="10.140625" bestFit="1" customWidth="1"/>
    <col min="2" max="2" width="15.5703125" customWidth="1"/>
    <col min="3" max="3" width="38.28515625" customWidth="1"/>
    <col min="4" max="5" width="15.85546875" style="14" customWidth="1"/>
    <col min="6" max="6" width="17.28515625" style="14" customWidth="1"/>
    <col min="7" max="7" width="9.7109375" style="16" bestFit="1" customWidth="1"/>
    <col min="8" max="8" width="12.85546875" style="14" customWidth="1"/>
    <col min="9" max="9" width="6" customWidth="1"/>
    <col min="10" max="10" width="16" style="14" customWidth="1"/>
    <col min="11" max="11" width="16.28515625" customWidth="1"/>
    <col min="12" max="12" width="15.85546875" style="14" customWidth="1"/>
    <col min="13" max="13" width="18.140625" style="14" customWidth="1"/>
  </cols>
  <sheetData>
    <row r="1" spans="1:14" x14ac:dyDescent="0.25">
      <c r="B1" s="1"/>
      <c r="C1" s="2" t="s">
        <v>149</v>
      </c>
      <c r="D1" s="11"/>
      <c r="E1" s="11"/>
      <c r="F1" s="11"/>
      <c r="J1" s="11"/>
      <c r="K1" s="3"/>
      <c r="L1" s="11"/>
    </row>
    <row r="2" spans="1:14" x14ac:dyDescent="0.25">
      <c r="B2" s="1"/>
      <c r="D2" s="11"/>
      <c r="E2" s="11"/>
      <c r="F2" s="11"/>
      <c r="J2" s="11"/>
      <c r="K2" s="3"/>
      <c r="L2" s="11"/>
      <c r="N2" s="4"/>
    </row>
    <row r="3" spans="1:14" ht="20.100000000000001" customHeight="1" x14ac:dyDescent="0.25">
      <c r="A3" s="5" t="s">
        <v>0</v>
      </c>
      <c r="B3" s="6" t="s">
        <v>1</v>
      </c>
      <c r="C3" s="5" t="s">
        <v>2</v>
      </c>
      <c r="D3" s="12" t="s">
        <v>72</v>
      </c>
      <c r="E3" s="12" t="s">
        <v>83</v>
      </c>
      <c r="F3" s="12" t="s">
        <v>74</v>
      </c>
      <c r="G3" s="5" t="s">
        <v>111</v>
      </c>
      <c r="J3" s="17" t="s">
        <v>55</v>
      </c>
      <c r="K3" s="18" t="s">
        <v>73</v>
      </c>
      <c r="L3" s="17" t="s">
        <v>56</v>
      </c>
      <c r="N3" s="8"/>
    </row>
    <row r="4" spans="1:14" x14ac:dyDescent="0.25">
      <c r="A4" s="9" t="s">
        <v>157</v>
      </c>
      <c r="B4" s="9"/>
      <c r="C4" s="9" t="s">
        <v>87</v>
      </c>
      <c r="D4" s="13"/>
      <c r="E4" s="13"/>
      <c r="F4" s="13">
        <v>2878000</v>
      </c>
      <c r="G4" s="15">
        <v>1</v>
      </c>
      <c r="J4" s="13">
        <v>45000</v>
      </c>
      <c r="K4" s="10" t="s">
        <v>88</v>
      </c>
      <c r="L4" s="13">
        <v>65000</v>
      </c>
    </row>
    <row r="5" spans="1:14" x14ac:dyDescent="0.25">
      <c r="A5" s="9" t="s">
        <v>168</v>
      </c>
      <c r="B5" s="9"/>
      <c r="C5" s="9" t="s">
        <v>109</v>
      </c>
      <c r="D5" s="13"/>
      <c r="E5" s="13"/>
      <c r="F5" s="13">
        <v>553000</v>
      </c>
      <c r="G5" s="15">
        <v>11</v>
      </c>
      <c r="J5" s="13">
        <v>45000</v>
      </c>
      <c r="K5" s="10" t="s">
        <v>88</v>
      </c>
      <c r="L5" s="13">
        <v>65000</v>
      </c>
    </row>
    <row r="6" spans="1:14" x14ac:dyDescent="0.25">
      <c r="A6" s="9" t="s">
        <v>160</v>
      </c>
      <c r="B6" s="9"/>
      <c r="C6" s="9" t="s">
        <v>89</v>
      </c>
      <c r="D6" s="13"/>
      <c r="E6" s="13"/>
      <c r="F6" s="13">
        <v>650000</v>
      </c>
      <c r="G6" s="15">
        <v>6</v>
      </c>
      <c r="J6" s="13">
        <v>45000</v>
      </c>
      <c r="K6" s="10" t="s">
        <v>88</v>
      </c>
      <c r="L6" s="13">
        <v>65000</v>
      </c>
    </row>
    <row r="7" spans="1:14" s="14" customFormat="1" x14ac:dyDescent="0.25">
      <c r="A7" s="9" t="s">
        <v>162</v>
      </c>
      <c r="B7" s="9"/>
      <c r="C7" s="9" t="s">
        <v>90</v>
      </c>
      <c r="D7" s="13"/>
      <c r="E7" s="13"/>
      <c r="F7" s="13">
        <v>943000</v>
      </c>
      <c r="G7" s="15">
        <v>3</v>
      </c>
      <c r="I7"/>
      <c r="J7" s="13">
        <v>45000</v>
      </c>
      <c r="K7" s="10" t="s">
        <v>88</v>
      </c>
      <c r="L7" s="13">
        <v>65000</v>
      </c>
      <c r="N7"/>
    </row>
    <row r="8" spans="1:14" s="14" customFormat="1" x14ac:dyDescent="0.25">
      <c r="A8" s="9" t="s">
        <v>169</v>
      </c>
      <c r="B8" s="9"/>
      <c r="C8" s="9" t="s">
        <v>91</v>
      </c>
      <c r="D8" s="13"/>
      <c r="E8" s="13"/>
      <c r="F8" s="13">
        <v>1300000</v>
      </c>
      <c r="G8" s="15">
        <v>1</v>
      </c>
      <c r="I8"/>
      <c r="J8" s="13">
        <v>45000</v>
      </c>
      <c r="K8" s="10" t="s">
        <v>88</v>
      </c>
      <c r="L8" s="13">
        <v>65000</v>
      </c>
      <c r="N8"/>
    </row>
    <row r="9" spans="1:14" s="14" customFormat="1" x14ac:dyDescent="0.25">
      <c r="A9" s="9" t="s">
        <v>159</v>
      </c>
      <c r="B9" s="9"/>
      <c r="C9" s="9" t="s">
        <v>92</v>
      </c>
      <c r="D9" s="13"/>
      <c r="E9" s="13"/>
      <c r="F9" s="13">
        <v>1300000</v>
      </c>
      <c r="G9" s="15">
        <v>1</v>
      </c>
      <c r="I9"/>
      <c r="J9" s="13">
        <v>45000</v>
      </c>
      <c r="K9" s="10" t="s">
        <v>88</v>
      </c>
      <c r="L9" s="13">
        <v>65000</v>
      </c>
      <c r="N9"/>
    </row>
    <row r="10" spans="1:14" s="14" customFormat="1" x14ac:dyDescent="0.25">
      <c r="A10" s="9" t="s">
        <v>170</v>
      </c>
      <c r="B10" s="9"/>
      <c r="C10" s="9" t="s">
        <v>93</v>
      </c>
      <c r="D10" s="13"/>
      <c r="E10" s="13"/>
      <c r="F10" s="13">
        <v>1664000</v>
      </c>
      <c r="G10" s="15">
        <v>1</v>
      </c>
      <c r="I10"/>
      <c r="J10" s="13">
        <v>45000</v>
      </c>
      <c r="K10" s="10" t="s">
        <v>88</v>
      </c>
      <c r="L10" s="13">
        <v>65000</v>
      </c>
      <c r="N10"/>
    </row>
    <row r="11" spans="1:14" s="14" customFormat="1" x14ac:dyDescent="0.25">
      <c r="A11" s="9" t="s">
        <v>165</v>
      </c>
      <c r="B11" s="9"/>
      <c r="C11" s="9" t="s">
        <v>94</v>
      </c>
      <c r="D11" s="13"/>
      <c r="E11" s="13"/>
      <c r="F11" s="13">
        <v>2262000</v>
      </c>
      <c r="G11" s="15">
        <v>1</v>
      </c>
      <c r="I11"/>
      <c r="J11" s="13">
        <v>45000</v>
      </c>
      <c r="K11" s="10" t="s">
        <v>88</v>
      </c>
      <c r="L11" s="13">
        <v>65000</v>
      </c>
      <c r="N11"/>
    </row>
    <row r="12" spans="1:14" s="14" customFormat="1" x14ac:dyDescent="0.25">
      <c r="A12" s="9" t="s">
        <v>167</v>
      </c>
      <c r="B12" s="9"/>
      <c r="C12" s="9" t="s">
        <v>95</v>
      </c>
      <c r="D12" s="13"/>
      <c r="E12" s="13"/>
      <c r="F12" s="13">
        <v>3323000</v>
      </c>
      <c r="G12" s="15">
        <v>1</v>
      </c>
      <c r="I12"/>
      <c r="J12" s="13">
        <v>45000</v>
      </c>
      <c r="K12" s="10" t="s">
        <v>88</v>
      </c>
      <c r="L12" s="13">
        <v>75000</v>
      </c>
      <c r="N12"/>
    </row>
    <row r="13" spans="1:14" s="14" customFormat="1" x14ac:dyDescent="0.25">
      <c r="A13" s="9" t="s">
        <v>163</v>
      </c>
      <c r="B13" s="9"/>
      <c r="C13" s="9" t="s">
        <v>96</v>
      </c>
      <c r="D13" s="13"/>
      <c r="E13" s="13"/>
      <c r="F13" s="13">
        <v>59000</v>
      </c>
      <c r="G13" s="15">
        <v>15</v>
      </c>
      <c r="I13"/>
      <c r="J13" s="13">
        <v>45000</v>
      </c>
      <c r="K13" s="10" t="s">
        <v>88</v>
      </c>
      <c r="L13" s="13">
        <v>65000</v>
      </c>
      <c r="N13"/>
    </row>
    <row r="14" spans="1:14" s="14" customFormat="1" x14ac:dyDescent="0.25">
      <c r="A14" s="9" t="s">
        <v>158</v>
      </c>
      <c r="B14" s="9"/>
      <c r="C14" s="9" t="s">
        <v>97</v>
      </c>
      <c r="D14" s="13"/>
      <c r="E14" s="13"/>
      <c r="F14" s="13">
        <v>111000</v>
      </c>
      <c r="G14" s="15">
        <v>4</v>
      </c>
      <c r="I14"/>
      <c r="J14" s="13">
        <v>45000</v>
      </c>
      <c r="K14" s="10" t="s">
        <v>88</v>
      </c>
      <c r="L14" s="13">
        <v>65000</v>
      </c>
      <c r="N14"/>
    </row>
    <row r="15" spans="1:14" s="14" customFormat="1" x14ac:dyDescent="0.25">
      <c r="A15" s="9" t="s">
        <v>166</v>
      </c>
      <c r="B15" s="9"/>
      <c r="C15" s="9" t="s">
        <v>98</v>
      </c>
      <c r="D15" s="13"/>
      <c r="E15" s="13"/>
      <c r="F15" s="13">
        <v>111000</v>
      </c>
      <c r="G15" s="15">
        <v>4</v>
      </c>
      <c r="I15"/>
      <c r="J15" s="13">
        <v>45000</v>
      </c>
      <c r="K15" s="10" t="s">
        <v>88</v>
      </c>
      <c r="L15" s="13">
        <v>65000</v>
      </c>
      <c r="N15"/>
    </row>
    <row r="16" spans="1:14" s="14" customFormat="1" x14ac:dyDescent="0.25">
      <c r="A16" s="9" t="s">
        <v>171</v>
      </c>
      <c r="B16" s="9"/>
      <c r="C16" s="9" t="s">
        <v>99</v>
      </c>
      <c r="D16" s="13"/>
      <c r="E16" s="13"/>
      <c r="F16" s="13">
        <v>176000</v>
      </c>
      <c r="G16" s="15">
        <v>10</v>
      </c>
      <c r="I16"/>
      <c r="J16" s="13">
        <v>45000</v>
      </c>
      <c r="K16" s="10" t="s">
        <v>88</v>
      </c>
      <c r="L16" s="13">
        <v>65000</v>
      </c>
      <c r="N16"/>
    </row>
    <row r="17" spans="1:14" s="14" customFormat="1" x14ac:dyDescent="0.25">
      <c r="A17" s="9" t="s">
        <v>164</v>
      </c>
      <c r="B17" s="9"/>
      <c r="C17" s="9" t="s">
        <v>100</v>
      </c>
      <c r="D17" s="13"/>
      <c r="E17" s="13"/>
      <c r="F17" s="13">
        <v>234000</v>
      </c>
      <c r="G17" s="15">
        <v>14</v>
      </c>
      <c r="I17"/>
      <c r="J17" s="13">
        <v>45000</v>
      </c>
      <c r="K17" s="10" t="s">
        <v>88</v>
      </c>
      <c r="L17" s="13">
        <v>65000</v>
      </c>
      <c r="N17"/>
    </row>
    <row r="18" spans="1:14" s="14" customFormat="1" x14ac:dyDescent="0.25">
      <c r="A18" s="9" t="s">
        <v>161</v>
      </c>
      <c r="B18" s="9"/>
      <c r="C18" s="9" t="s">
        <v>101</v>
      </c>
      <c r="D18" s="13"/>
      <c r="E18" s="13"/>
      <c r="F18" s="13">
        <v>128000</v>
      </c>
      <c r="G18" s="15">
        <v>8</v>
      </c>
      <c r="I18"/>
      <c r="J18" s="13">
        <v>45000</v>
      </c>
      <c r="K18" s="10" t="s">
        <v>88</v>
      </c>
      <c r="L18" s="13">
        <v>75000</v>
      </c>
      <c r="N18"/>
    </row>
    <row r="19" spans="1:14" s="14" customFormat="1" x14ac:dyDescent="0.25">
      <c r="A19" s="9" t="s">
        <v>172</v>
      </c>
      <c r="B19" s="9"/>
      <c r="C19" s="9" t="s">
        <v>102</v>
      </c>
      <c r="D19" s="13"/>
      <c r="E19" s="13"/>
      <c r="F19" s="13">
        <v>270000</v>
      </c>
      <c r="G19" s="15">
        <v>10</v>
      </c>
      <c r="I19"/>
      <c r="J19" s="13">
        <v>45000</v>
      </c>
      <c r="K19" s="10" t="s">
        <v>88</v>
      </c>
      <c r="L19" s="13">
        <v>75000</v>
      </c>
      <c r="N19"/>
    </row>
    <row r="20" spans="1:14" s="14" customFormat="1" x14ac:dyDescent="0.25">
      <c r="A20" s="9" t="s">
        <v>173</v>
      </c>
      <c r="B20" s="9"/>
      <c r="C20" s="9" t="s">
        <v>103</v>
      </c>
      <c r="D20" s="13"/>
      <c r="E20" s="13"/>
      <c r="F20" s="13">
        <v>495000</v>
      </c>
      <c r="G20" s="15">
        <v>12</v>
      </c>
      <c r="I20"/>
      <c r="J20" s="13">
        <v>45000</v>
      </c>
      <c r="K20" s="10" t="s">
        <v>88</v>
      </c>
      <c r="L20" s="13">
        <v>75000</v>
      </c>
      <c r="N20"/>
    </row>
    <row r="21" spans="1:14" s="14" customFormat="1" x14ac:dyDescent="0.25">
      <c r="A21" s="9" t="s">
        <v>174</v>
      </c>
      <c r="B21" s="9"/>
      <c r="C21" s="9" t="s">
        <v>104</v>
      </c>
      <c r="D21" s="13"/>
      <c r="E21" s="13"/>
      <c r="F21" s="13">
        <v>750000</v>
      </c>
      <c r="G21" s="15">
        <v>9</v>
      </c>
      <c r="I21"/>
      <c r="J21" s="13">
        <v>45000</v>
      </c>
      <c r="K21" s="10" t="s">
        <v>88</v>
      </c>
      <c r="L21" s="13">
        <v>75000</v>
      </c>
      <c r="N21"/>
    </row>
    <row r="22" spans="1:14" s="14" customFormat="1" x14ac:dyDescent="0.25">
      <c r="A22" s="9" t="s">
        <v>175</v>
      </c>
      <c r="B22" s="9"/>
      <c r="C22" s="9" t="s">
        <v>105</v>
      </c>
      <c r="D22" s="13"/>
      <c r="E22" s="13"/>
      <c r="F22" s="13">
        <v>1088000</v>
      </c>
      <c r="G22" s="15">
        <v>6</v>
      </c>
      <c r="I22"/>
      <c r="J22" s="13">
        <v>45000</v>
      </c>
      <c r="K22" s="10" t="s">
        <v>88</v>
      </c>
      <c r="L22" s="13">
        <v>75000</v>
      </c>
      <c r="N22"/>
    </row>
    <row r="23" spans="1:14" s="14" customFormat="1" x14ac:dyDescent="0.25">
      <c r="A23" s="9" t="s">
        <v>176</v>
      </c>
      <c r="B23" s="9"/>
      <c r="C23" s="9" t="s">
        <v>106</v>
      </c>
      <c r="D23" s="13"/>
      <c r="E23" s="13"/>
      <c r="F23" s="13">
        <v>1500000</v>
      </c>
      <c r="G23" s="15">
        <v>1</v>
      </c>
      <c r="I23"/>
      <c r="J23" s="13">
        <v>45000</v>
      </c>
      <c r="K23" s="10" t="s">
        <v>88</v>
      </c>
      <c r="L23" s="13">
        <v>75000</v>
      </c>
      <c r="N23"/>
    </row>
    <row r="24" spans="1:14" s="14" customFormat="1" x14ac:dyDescent="0.25">
      <c r="A24" s="9" t="s">
        <v>177</v>
      </c>
      <c r="B24" s="9"/>
      <c r="C24" s="9" t="s">
        <v>107</v>
      </c>
      <c r="D24" s="13"/>
      <c r="E24" s="13"/>
      <c r="F24" s="13">
        <v>1920000</v>
      </c>
      <c r="G24" s="15">
        <v>1</v>
      </c>
      <c r="I24"/>
      <c r="J24" s="13">
        <v>45000</v>
      </c>
      <c r="K24" s="10" t="s">
        <v>88</v>
      </c>
      <c r="L24" s="13">
        <v>75000</v>
      </c>
      <c r="N24"/>
    </row>
    <row r="25" spans="1:14" s="14" customFormat="1" x14ac:dyDescent="0.25">
      <c r="A25" s="9" t="s">
        <v>178</v>
      </c>
      <c r="B25" s="9"/>
      <c r="C25" s="9" t="s">
        <v>108</v>
      </c>
      <c r="D25" s="13"/>
      <c r="E25" s="13"/>
      <c r="F25" s="13">
        <v>2610000</v>
      </c>
      <c r="G25" s="15">
        <v>1</v>
      </c>
      <c r="I25"/>
      <c r="J25" s="13">
        <v>45000</v>
      </c>
      <c r="K25" s="10" t="s">
        <v>88</v>
      </c>
      <c r="L25" s="13">
        <v>75000</v>
      </c>
      <c r="N25"/>
    </row>
    <row r="26" spans="1:14" s="14" customFormat="1" x14ac:dyDescent="0.25">
      <c r="A26" s="9"/>
      <c r="B26" s="9"/>
      <c r="C26" s="9"/>
      <c r="D26" s="13"/>
      <c r="E26" s="13"/>
      <c r="F26" s="13"/>
      <c r="G26" s="15"/>
      <c r="I26"/>
      <c r="J26" s="13"/>
      <c r="K26" s="10"/>
      <c r="L26" s="13"/>
      <c r="N26"/>
    </row>
    <row r="27" spans="1:14" s="14" customFormat="1" x14ac:dyDescent="0.25">
      <c r="A27" s="9"/>
      <c r="B27" s="9"/>
      <c r="C27" s="9"/>
      <c r="D27" s="13"/>
      <c r="E27" s="13"/>
      <c r="F27" s="13"/>
      <c r="G27" s="15"/>
      <c r="I27"/>
      <c r="J27" s="13"/>
      <c r="K27" s="10"/>
      <c r="L27" s="13"/>
      <c r="N27"/>
    </row>
    <row r="28" spans="1:14" s="14" customFormat="1" x14ac:dyDescent="0.25">
      <c r="A28" s="9"/>
      <c r="B28" s="9"/>
      <c r="C28" s="9"/>
      <c r="D28" s="13"/>
      <c r="E28" s="13"/>
      <c r="F28" s="13"/>
      <c r="G28" s="15"/>
      <c r="I28"/>
      <c r="J28" s="13"/>
      <c r="K28" s="10"/>
      <c r="L28" s="13"/>
      <c r="N28"/>
    </row>
    <row r="29" spans="1:14" s="14" customFormat="1" x14ac:dyDescent="0.25">
      <c r="A29" s="9"/>
      <c r="B29" s="9"/>
      <c r="C29" s="9"/>
      <c r="D29" s="13"/>
      <c r="E29" s="13"/>
      <c r="F29" s="13"/>
      <c r="G29" s="15"/>
      <c r="I29"/>
      <c r="J29" s="13"/>
      <c r="K29" s="10"/>
      <c r="L29" s="13"/>
      <c r="N29"/>
    </row>
    <row r="30" spans="1:14" s="14" customFormat="1" x14ac:dyDescent="0.25">
      <c r="A30" s="9"/>
      <c r="B30" s="9"/>
      <c r="C30" s="9"/>
      <c r="D30" s="13"/>
      <c r="E30" s="13"/>
      <c r="F30" s="13"/>
      <c r="G30" s="15"/>
      <c r="I30"/>
      <c r="J30" s="13"/>
      <c r="K30" s="10"/>
      <c r="L30" s="13"/>
      <c r="N30"/>
    </row>
    <row r="31" spans="1:14" s="14" customFormat="1" x14ac:dyDescent="0.25">
      <c r="A31" s="9"/>
      <c r="B31" s="9"/>
      <c r="C31" s="9"/>
      <c r="D31" s="13"/>
      <c r="E31" s="13"/>
      <c r="F31" s="13"/>
      <c r="G31" s="15"/>
      <c r="I31"/>
      <c r="J31" s="13"/>
      <c r="K31" s="10"/>
      <c r="L31" s="13"/>
      <c r="N31"/>
    </row>
    <row r="32" spans="1:14" s="14" customFormat="1" x14ac:dyDescent="0.25">
      <c r="A32" s="9"/>
      <c r="B32" s="9"/>
      <c r="C32" s="9"/>
      <c r="D32" s="13"/>
      <c r="E32" s="13"/>
      <c r="F32" s="13"/>
      <c r="G32" s="15"/>
      <c r="I32"/>
      <c r="J32" s="13"/>
      <c r="K32" s="10"/>
      <c r="L32" s="13"/>
      <c r="N32"/>
    </row>
    <row r="33" spans="1:14" s="14" customFormat="1" x14ac:dyDescent="0.25">
      <c r="A33" s="9"/>
      <c r="B33" s="9"/>
      <c r="C33" s="9"/>
      <c r="D33" s="13"/>
      <c r="E33" s="13"/>
      <c r="F33" s="13"/>
      <c r="G33" s="15"/>
      <c r="I33"/>
      <c r="J33" s="13"/>
      <c r="K33" s="10"/>
      <c r="L33" s="13"/>
      <c r="N33"/>
    </row>
    <row r="34" spans="1:14" s="14" customFormat="1" x14ac:dyDescent="0.25">
      <c r="A34" s="9"/>
      <c r="B34" s="9"/>
      <c r="C34" s="9"/>
      <c r="D34" s="13"/>
      <c r="E34" s="13"/>
      <c r="F34" s="13"/>
      <c r="G34" s="15"/>
      <c r="I34"/>
      <c r="J34" s="13"/>
      <c r="K34" s="10"/>
      <c r="L34" s="13"/>
      <c r="N34"/>
    </row>
    <row r="35" spans="1:14" s="14" customFormat="1" x14ac:dyDescent="0.25">
      <c r="A35" s="9"/>
      <c r="B35" s="9"/>
      <c r="C35" s="9"/>
      <c r="D35" s="13"/>
      <c r="E35" s="13"/>
      <c r="F35" s="13"/>
      <c r="G35" s="15"/>
      <c r="I35"/>
      <c r="J35" s="13"/>
      <c r="K35" s="10"/>
      <c r="L35" s="13"/>
      <c r="N35"/>
    </row>
    <row r="36" spans="1:14" s="14" customFormat="1" x14ac:dyDescent="0.25">
      <c r="A36" s="9"/>
      <c r="B36" s="9"/>
      <c r="C36" s="9"/>
      <c r="D36" s="13"/>
      <c r="E36" s="13"/>
      <c r="F36" s="13"/>
      <c r="G36" s="15"/>
      <c r="I36"/>
      <c r="J36" s="13"/>
      <c r="K36" s="10"/>
      <c r="L36" s="13"/>
      <c r="N36"/>
    </row>
  </sheetData>
  <phoneticPr fontId="4" type="noConversion"/>
  <conditionalFormatting sqref="A3">
    <cfRule type="duplicateValues" dxfId="57" priority="5"/>
    <cfRule type="duplicateValues" dxfId="56" priority="8"/>
  </conditionalFormatting>
  <conditionalFormatting sqref="A1:B3">
    <cfRule type="duplicateValues" dxfId="55" priority="3"/>
  </conditionalFormatting>
  <conditionalFormatting sqref="B2:B3">
    <cfRule type="duplicateValues" dxfId="54" priority="4"/>
  </conditionalFormatting>
  <conditionalFormatting sqref="B3">
    <cfRule type="duplicateValues" dxfId="53" priority="6"/>
    <cfRule type="duplicateValues" dxfId="52" priority="7"/>
  </conditionalFormatting>
  <conditionalFormatting sqref="A26:A1048576 A1:A3">
    <cfRule type="duplicateValues" dxfId="51" priority="9"/>
  </conditionalFormatting>
  <conditionalFormatting sqref="B26:B1048576 B1:B3">
    <cfRule type="duplicateValues" dxfId="50" priority="10"/>
  </conditionalFormatting>
  <conditionalFormatting sqref="A4:A25">
    <cfRule type="duplicateValues" dxfId="49" priority="36"/>
  </conditionalFormatting>
  <conditionalFormatting sqref="B4:B25">
    <cfRule type="duplicateValues" dxfId="48" priority="37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E65E-971C-411C-B3B2-48429A23C548}">
  <dimension ref="A1:O42"/>
  <sheetViews>
    <sheetView workbookViewId="0">
      <pane ySplit="3" topLeftCell="A4" activePane="bottomLeft" state="frozen"/>
      <selection pane="bottomLeft" activeCell="K25" sqref="K25"/>
    </sheetView>
  </sheetViews>
  <sheetFormatPr defaultRowHeight="15" x14ac:dyDescent="0.25"/>
  <cols>
    <col min="1" max="1" width="10.140625" bestFit="1" customWidth="1"/>
    <col min="2" max="2" width="15.5703125" customWidth="1"/>
    <col min="3" max="3" width="38.28515625" customWidth="1"/>
    <col min="4" max="6" width="15.85546875" style="14" customWidth="1"/>
    <col min="7" max="7" width="17.28515625" style="14" customWidth="1"/>
    <col min="8" max="8" width="9.7109375" style="16" bestFit="1" customWidth="1"/>
    <col min="9" max="9" width="12.85546875" style="14" customWidth="1"/>
    <col min="10" max="10" width="6" customWidth="1"/>
    <col min="11" max="11" width="16" style="14" customWidth="1"/>
    <col min="12" max="12" width="16.28515625" customWidth="1"/>
    <col min="13" max="13" width="15.85546875" style="14" customWidth="1"/>
    <col min="14" max="14" width="18.140625" style="14" customWidth="1"/>
  </cols>
  <sheetData>
    <row r="1" spans="1:15" x14ac:dyDescent="0.25">
      <c r="B1" s="1"/>
      <c r="C1" s="2" t="s">
        <v>4</v>
      </c>
      <c r="D1" s="11"/>
      <c r="E1" s="11"/>
      <c r="F1" s="11"/>
      <c r="G1" s="11"/>
      <c r="K1" s="11"/>
      <c r="L1" s="3"/>
      <c r="M1" s="11"/>
    </row>
    <row r="2" spans="1:15" x14ac:dyDescent="0.25">
      <c r="B2" s="1"/>
      <c r="D2" s="11"/>
      <c r="E2" s="11"/>
      <c r="F2" s="11"/>
      <c r="G2" s="11"/>
      <c r="K2" s="11"/>
      <c r="L2" s="3"/>
      <c r="M2" s="11"/>
      <c r="O2" s="4"/>
    </row>
    <row r="3" spans="1:15" ht="20.100000000000001" customHeight="1" x14ac:dyDescent="0.25">
      <c r="A3" s="5" t="s">
        <v>0</v>
      </c>
      <c r="B3" s="6" t="s">
        <v>1</v>
      </c>
      <c r="C3" s="5" t="s">
        <v>2</v>
      </c>
      <c r="D3" s="17" t="s">
        <v>55</v>
      </c>
      <c r="E3" s="18" t="s">
        <v>73</v>
      </c>
      <c r="F3" s="17" t="s">
        <v>56</v>
      </c>
      <c r="G3" s="12" t="s">
        <v>74</v>
      </c>
      <c r="H3" s="5" t="s">
        <v>111</v>
      </c>
      <c r="O3" s="8"/>
    </row>
    <row r="4" spans="1:15" x14ac:dyDescent="0.25">
      <c r="A4" s="9" t="s">
        <v>179</v>
      </c>
      <c r="B4" s="9"/>
      <c r="C4" s="9" t="s">
        <v>76</v>
      </c>
      <c r="D4" s="13">
        <v>42000</v>
      </c>
      <c r="E4" s="10" t="s">
        <v>75</v>
      </c>
      <c r="F4" s="13">
        <v>65000</v>
      </c>
      <c r="G4" s="13">
        <v>572000</v>
      </c>
      <c r="H4" s="15">
        <v>4</v>
      </c>
      <c r="J4" s="14"/>
    </row>
    <row r="5" spans="1:15" x14ac:dyDescent="0.25">
      <c r="A5" s="9" t="s">
        <v>180</v>
      </c>
      <c r="B5" s="9"/>
      <c r="C5" s="9" t="s">
        <v>77</v>
      </c>
      <c r="D5" s="13">
        <v>42000</v>
      </c>
      <c r="E5" s="10" t="s">
        <v>75</v>
      </c>
      <c r="F5" s="13">
        <v>65000</v>
      </c>
      <c r="G5" s="13">
        <v>559000</v>
      </c>
      <c r="H5" s="15">
        <v>2</v>
      </c>
    </row>
    <row r="6" spans="1:15" x14ac:dyDescent="0.25">
      <c r="A6" s="9" t="s">
        <v>181</v>
      </c>
      <c r="B6" s="9"/>
      <c r="C6" s="9" t="s">
        <v>78</v>
      </c>
      <c r="D6" s="13">
        <v>42000</v>
      </c>
      <c r="E6" s="10" t="s">
        <v>75</v>
      </c>
      <c r="F6" s="13">
        <v>65000</v>
      </c>
      <c r="G6" s="13">
        <v>689000</v>
      </c>
      <c r="H6" s="15">
        <v>2</v>
      </c>
    </row>
    <row r="7" spans="1:15" x14ac:dyDescent="0.25">
      <c r="A7" s="9" t="s">
        <v>182</v>
      </c>
      <c r="B7" s="9"/>
      <c r="C7" s="9" t="s">
        <v>79</v>
      </c>
      <c r="D7" s="13">
        <v>42000</v>
      </c>
      <c r="E7" s="10" t="s">
        <v>75</v>
      </c>
      <c r="F7" s="13">
        <v>65000</v>
      </c>
      <c r="G7" s="13">
        <v>683000</v>
      </c>
      <c r="H7" s="15">
        <v>1</v>
      </c>
    </row>
    <row r="8" spans="1:15" x14ac:dyDescent="0.25">
      <c r="A8" s="9" t="s">
        <v>183</v>
      </c>
      <c r="B8" s="9"/>
      <c r="C8" s="9" t="s">
        <v>80</v>
      </c>
      <c r="D8" s="13">
        <v>42000</v>
      </c>
      <c r="E8" s="10" t="s">
        <v>75</v>
      </c>
      <c r="F8" s="13">
        <v>65000</v>
      </c>
      <c r="G8" s="13">
        <v>923000</v>
      </c>
      <c r="H8" s="15">
        <v>1</v>
      </c>
    </row>
    <row r="9" spans="1:15" x14ac:dyDescent="0.25">
      <c r="A9" s="9" t="s">
        <v>184</v>
      </c>
      <c r="B9" s="9"/>
      <c r="C9" s="9" t="s">
        <v>81</v>
      </c>
      <c r="D9" s="13">
        <v>42000</v>
      </c>
      <c r="E9" s="10" t="s">
        <v>75</v>
      </c>
      <c r="F9" s="13">
        <v>65000</v>
      </c>
      <c r="G9" s="13">
        <v>962000</v>
      </c>
      <c r="H9" s="15">
        <v>1</v>
      </c>
    </row>
    <row r="10" spans="1:15" x14ac:dyDescent="0.25">
      <c r="A10" s="9" t="s">
        <v>185</v>
      </c>
      <c r="B10" s="9"/>
      <c r="C10" s="9" t="s">
        <v>82</v>
      </c>
      <c r="D10" s="13">
        <v>42000</v>
      </c>
      <c r="E10" s="10" t="s">
        <v>75</v>
      </c>
      <c r="F10" s="13">
        <v>65000</v>
      </c>
      <c r="G10" s="13">
        <v>975000</v>
      </c>
      <c r="H10" s="15">
        <v>1</v>
      </c>
    </row>
    <row r="11" spans="1:15" s="14" customFormat="1" x14ac:dyDescent="0.25">
      <c r="A11" s="9" t="s">
        <v>186</v>
      </c>
      <c r="B11" s="9"/>
      <c r="C11" s="9" t="s">
        <v>147</v>
      </c>
      <c r="D11" s="13">
        <v>50000</v>
      </c>
      <c r="E11" s="10" t="s">
        <v>148</v>
      </c>
      <c r="F11" s="13">
        <v>70000</v>
      </c>
      <c r="G11" s="13">
        <v>252000</v>
      </c>
      <c r="H11" s="15">
        <v>2</v>
      </c>
      <c r="J11"/>
      <c r="O11"/>
    </row>
    <row r="12" spans="1:15" s="14" customFormat="1" x14ac:dyDescent="0.25">
      <c r="A12" s="9" t="s">
        <v>230</v>
      </c>
      <c r="B12" s="9"/>
      <c r="C12" s="9" t="s">
        <v>211</v>
      </c>
      <c r="D12" s="13">
        <v>50000</v>
      </c>
      <c r="E12" s="10" t="s">
        <v>148</v>
      </c>
      <c r="F12" s="13">
        <v>70000</v>
      </c>
      <c r="G12" s="13">
        <v>112000</v>
      </c>
      <c r="H12" s="15">
        <v>7</v>
      </c>
      <c r="J12"/>
      <c r="O12"/>
    </row>
    <row r="13" spans="1:15" s="14" customFormat="1" x14ac:dyDescent="0.25">
      <c r="A13" s="9" t="s">
        <v>231</v>
      </c>
      <c r="B13" s="9"/>
      <c r="C13" s="9" t="s">
        <v>212</v>
      </c>
      <c r="D13" s="13">
        <v>50000</v>
      </c>
      <c r="E13" s="10" t="s">
        <v>148</v>
      </c>
      <c r="F13" s="13">
        <v>70000</v>
      </c>
      <c r="G13" s="13">
        <v>119000</v>
      </c>
      <c r="H13" s="15">
        <v>2</v>
      </c>
      <c r="J13"/>
      <c r="O13"/>
    </row>
    <row r="14" spans="1:15" s="14" customFormat="1" x14ac:dyDescent="0.25">
      <c r="A14" s="9" t="s">
        <v>232</v>
      </c>
      <c r="B14" s="9"/>
      <c r="C14" s="9" t="s">
        <v>213</v>
      </c>
      <c r="D14" s="13">
        <v>50000</v>
      </c>
      <c r="E14" s="10" t="s">
        <v>148</v>
      </c>
      <c r="F14" s="13">
        <v>70000</v>
      </c>
      <c r="G14" s="13">
        <v>182000</v>
      </c>
      <c r="H14" s="15">
        <v>1</v>
      </c>
      <c r="J14"/>
      <c r="O14"/>
    </row>
    <row r="15" spans="1:15" s="14" customFormat="1" x14ac:dyDescent="0.25">
      <c r="A15" s="9" t="s">
        <v>233</v>
      </c>
      <c r="B15" s="9"/>
      <c r="C15" s="9" t="s">
        <v>214</v>
      </c>
      <c r="D15" s="13">
        <v>50000</v>
      </c>
      <c r="E15" s="10" t="s">
        <v>148</v>
      </c>
      <c r="F15" s="13">
        <v>70000</v>
      </c>
      <c r="G15" s="13">
        <v>189000</v>
      </c>
      <c r="H15" s="15">
        <v>1</v>
      </c>
      <c r="J15"/>
      <c r="O15"/>
    </row>
    <row r="16" spans="1:15" s="14" customFormat="1" x14ac:dyDescent="0.25">
      <c r="A16" s="9" t="s">
        <v>234</v>
      </c>
      <c r="B16" s="9"/>
      <c r="C16" s="9" t="s">
        <v>215</v>
      </c>
      <c r="D16" s="13">
        <v>50000</v>
      </c>
      <c r="E16" s="10" t="s">
        <v>148</v>
      </c>
      <c r="F16" s="13">
        <v>70000</v>
      </c>
      <c r="G16" s="13">
        <v>196000</v>
      </c>
      <c r="H16" s="15">
        <v>1</v>
      </c>
      <c r="J16"/>
      <c r="O16"/>
    </row>
    <row r="17" spans="1:15" s="14" customFormat="1" x14ac:dyDescent="0.25">
      <c r="A17" s="9" t="s">
        <v>235</v>
      </c>
      <c r="B17" s="9"/>
      <c r="C17" s="9" t="s">
        <v>216</v>
      </c>
      <c r="D17" s="13">
        <v>50000</v>
      </c>
      <c r="E17" s="10" t="s">
        <v>148</v>
      </c>
      <c r="F17" s="13">
        <v>70000</v>
      </c>
      <c r="G17" s="13">
        <v>245000</v>
      </c>
      <c r="H17" s="15">
        <v>2</v>
      </c>
      <c r="J17"/>
      <c r="O17"/>
    </row>
    <row r="18" spans="1:15" s="14" customFormat="1" x14ac:dyDescent="0.25">
      <c r="A18" s="9" t="s">
        <v>236</v>
      </c>
      <c r="B18" s="9"/>
      <c r="C18" s="9" t="s">
        <v>217</v>
      </c>
      <c r="D18" s="13">
        <v>50000</v>
      </c>
      <c r="E18" s="10" t="s">
        <v>148</v>
      </c>
      <c r="F18" s="13">
        <v>70000</v>
      </c>
      <c r="G18" s="13">
        <v>259000</v>
      </c>
      <c r="H18" s="15">
        <v>2</v>
      </c>
      <c r="J18"/>
      <c r="O18"/>
    </row>
    <row r="19" spans="1:15" s="14" customFormat="1" x14ac:dyDescent="0.25">
      <c r="A19" s="9" t="s">
        <v>237</v>
      </c>
      <c r="B19" s="9"/>
      <c r="C19" s="9" t="s">
        <v>218</v>
      </c>
      <c r="D19" s="13">
        <v>50000</v>
      </c>
      <c r="E19" s="10" t="s">
        <v>148</v>
      </c>
      <c r="F19" s="13">
        <v>70000</v>
      </c>
      <c r="G19" s="13">
        <v>252000</v>
      </c>
      <c r="H19" s="15">
        <v>1</v>
      </c>
      <c r="J19"/>
      <c r="O19"/>
    </row>
    <row r="20" spans="1:15" s="14" customFormat="1" x14ac:dyDescent="0.25">
      <c r="A20" s="9" t="s">
        <v>238</v>
      </c>
      <c r="B20" s="9"/>
      <c r="C20" s="9" t="s">
        <v>219</v>
      </c>
      <c r="D20" s="13">
        <v>50000</v>
      </c>
      <c r="E20" s="10" t="s">
        <v>148</v>
      </c>
      <c r="F20" s="13">
        <v>70000</v>
      </c>
      <c r="G20" s="13">
        <v>350000</v>
      </c>
      <c r="H20" s="15">
        <v>5</v>
      </c>
      <c r="J20"/>
      <c r="O20"/>
    </row>
    <row r="21" spans="1:15" s="14" customFormat="1" x14ac:dyDescent="0.25">
      <c r="A21" s="9" t="s">
        <v>239</v>
      </c>
      <c r="B21" s="9"/>
      <c r="C21" s="9" t="s">
        <v>220</v>
      </c>
      <c r="D21" s="13">
        <v>50000</v>
      </c>
      <c r="E21" s="10" t="s">
        <v>148</v>
      </c>
      <c r="F21" s="13">
        <v>70000</v>
      </c>
      <c r="G21" s="13">
        <v>448000</v>
      </c>
      <c r="H21" s="15">
        <v>1</v>
      </c>
      <c r="J21"/>
      <c r="O21"/>
    </row>
    <row r="22" spans="1:15" s="14" customFormat="1" x14ac:dyDescent="0.25">
      <c r="A22" s="9" t="s">
        <v>240</v>
      </c>
      <c r="B22" s="9"/>
      <c r="C22" s="9" t="s">
        <v>221</v>
      </c>
      <c r="D22" s="13">
        <v>50000</v>
      </c>
      <c r="E22" s="10" t="s">
        <v>148</v>
      </c>
      <c r="F22" s="13">
        <v>70000</v>
      </c>
      <c r="G22" s="13">
        <v>462000</v>
      </c>
      <c r="H22" s="15">
        <v>1</v>
      </c>
      <c r="J22"/>
      <c r="O22"/>
    </row>
    <row r="23" spans="1:15" s="14" customFormat="1" x14ac:dyDescent="0.25">
      <c r="A23" s="9" t="s">
        <v>241</v>
      </c>
      <c r="B23" s="9"/>
      <c r="C23" s="9" t="s">
        <v>222</v>
      </c>
      <c r="D23" s="13">
        <v>50000</v>
      </c>
      <c r="E23" s="10" t="s">
        <v>148</v>
      </c>
      <c r="F23" s="13">
        <v>70000</v>
      </c>
      <c r="G23" s="13">
        <v>476000</v>
      </c>
      <c r="H23" s="15">
        <v>2</v>
      </c>
      <c r="J23"/>
      <c r="O23"/>
    </row>
    <row r="24" spans="1:15" s="14" customFormat="1" x14ac:dyDescent="0.25">
      <c r="A24" s="9" t="s">
        <v>242</v>
      </c>
      <c r="B24" s="9"/>
      <c r="C24" s="9" t="s">
        <v>223</v>
      </c>
      <c r="D24" s="13">
        <v>50000</v>
      </c>
      <c r="E24" s="10" t="s">
        <v>148</v>
      </c>
      <c r="F24" s="13">
        <v>70000</v>
      </c>
      <c r="G24" s="13">
        <v>42000</v>
      </c>
      <c r="H24" s="15">
        <v>8</v>
      </c>
      <c r="J24"/>
      <c r="O24"/>
    </row>
    <row r="25" spans="1:15" s="14" customFormat="1" x14ac:dyDescent="0.25">
      <c r="A25" s="9" t="s">
        <v>243</v>
      </c>
      <c r="B25" s="9"/>
      <c r="C25" s="9" t="s">
        <v>224</v>
      </c>
      <c r="D25" s="13">
        <v>50000</v>
      </c>
      <c r="E25" s="10" t="s">
        <v>148</v>
      </c>
      <c r="F25" s="13">
        <v>70000</v>
      </c>
      <c r="G25" s="13">
        <v>112000</v>
      </c>
      <c r="H25" s="15">
        <v>7</v>
      </c>
      <c r="J25"/>
      <c r="O25"/>
    </row>
    <row r="26" spans="1:15" s="14" customFormat="1" x14ac:dyDescent="0.25">
      <c r="A26" s="9" t="s">
        <v>244</v>
      </c>
      <c r="B26" s="9"/>
      <c r="C26" s="9" t="s">
        <v>225</v>
      </c>
      <c r="D26" s="13">
        <v>50000</v>
      </c>
      <c r="E26" s="10" t="s">
        <v>148</v>
      </c>
      <c r="F26" s="13">
        <v>70000</v>
      </c>
      <c r="G26" s="13">
        <v>245000</v>
      </c>
      <c r="H26" s="15">
        <v>1</v>
      </c>
      <c r="J26"/>
      <c r="O26"/>
    </row>
    <row r="27" spans="1:15" s="14" customFormat="1" x14ac:dyDescent="0.25">
      <c r="A27" s="9" t="s">
        <v>245</v>
      </c>
      <c r="B27" s="9"/>
      <c r="C27" s="9" t="s">
        <v>147</v>
      </c>
      <c r="D27" s="13">
        <v>50000</v>
      </c>
      <c r="E27" s="10" t="s">
        <v>148</v>
      </c>
      <c r="F27" s="13">
        <v>70000</v>
      </c>
      <c r="G27" s="13">
        <v>252000</v>
      </c>
      <c r="H27" s="15">
        <v>2</v>
      </c>
      <c r="J27"/>
      <c r="O27"/>
    </row>
    <row r="28" spans="1:15" s="14" customFormat="1" x14ac:dyDescent="0.25">
      <c r="A28" s="9" t="s">
        <v>246</v>
      </c>
      <c r="B28" s="9"/>
      <c r="C28" s="9" t="s">
        <v>226</v>
      </c>
      <c r="D28" s="13">
        <v>50000</v>
      </c>
      <c r="E28" s="10" t="s">
        <v>148</v>
      </c>
      <c r="F28" s="13">
        <v>70000</v>
      </c>
      <c r="G28" s="13">
        <v>231000</v>
      </c>
      <c r="H28" s="15">
        <v>1</v>
      </c>
      <c r="J28"/>
      <c r="O28"/>
    </row>
    <row r="29" spans="1:15" s="14" customFormat="1" x14ac:dyDescent="0.25">
      <c r="A29" s="9" t="s">
        <v>247</v>
      </c>
      <c r="B29" s="9"/>
      <c r="C29" s="9" t="s">
        <v>227</v>
      </c>
      <c r="D29" s="13">
        <v>50000</v>
      </c>
      <c r="E29" s="10" t="s">
        <v>148</v>
      </c>
      <c r="F29" s="13">
        <v>70000</v>
      </c>
      <c r="G29" s="13">
        <v>238000</v>
      </c>
      <c r="H29" s="15">
        <v>4</v>
      </c>
      <c r="J29"/>
      <c r="O29"/>
    </row>
    <row r="30" spans="1:15" s="14" customFormat="1" x14ac:dyDescent="0.25">
      <c r="A30" s="9" t="s">
        <v>248</v>
      </c>
      <c r="B30" s="9"/>
      <c r="C30" s="9" t="s">
        <v>228</v>
      </c>
      <c r="D30" s="13">
        <v>50000</v>
      </c>
      <c r="E30" s="10" t="s">
        <v>148</v>
      </c>
      <c r="F30" s="13">
        <v>70000</v>
      </c>
      <c r="G30" s="13">
        <v>350000</v>
      </c>
      <c r="H30" s="15">
        <v>5</v>
      </c>
      <c r="J30"/>
      <c r="O30"/>
    </row>
    <row r="31" spans="1:15" s="14" customFormat="1" x14ac:dyDescent="0.25">
      <c r="A31" s="9" t="s">
        <v>249</v>
      </c>
      <c r="B31" s="9"/>
      <c r="C31" s="9" t="s">
        <v>229</v>
      </c>
      <c r="D31" s="13">
        <v>50000</v>
      </c>
      <c r="E31" s="10" t="s">
        <v>148</v>
      </c>
      <c r="F31" s="13">
        <v>70000</v>
      </c>
      <c r="G31" s="13">
        <v>630000</v>
      </c>
      <c r="H31" s="15">
        <v>1</v>
      </c>
      <c r="J31"/>
      <c r="O31"/>
    </row>
    <row r="32" spans="1:15" s="14" customFormat="1" x14ac:dyDescent="0.25">
      <c r="A32" s="9"/>
      <c r="B32" s="9"/>
      <c r="C32" s="9"/>
      <c r="D32" s="13"/>
      <c r="E32" s="10"/>
      <c r="F32" s="13"/>
      <c r="G32" s="13"/>
      <c r="H32" s="15"/>
      <c r="J32"/>
      <c r="O32"/>
    </row>
    <row r="33" spans="1:15" s="14" customFormat="1" x14ac:dyDescent="0.25">
      <c r="A33" s="9"/>
      <c r="B33" s="9"/>
      <c r="C33" s="9"/>
      <c r="D33" s="13"/>
      <c r="E33" s="10"/>
      <c r="F33" s="13"/>
      <c r="G33" s="13"/>
      <c r="H33" s="15"/>
      <c r="J33"/>
      <c r="O33"/>
    </row>
    <row r="34" spans="1:15" s="14" customFormat="1" x14ac:dyDescent="0.25">
      <c r="A34" s="9"/>
      <c r="B34" s="9"/>
      <c r="C34" s="9"/>
      <c r="D34" s="13"/>
      <c r="E34" s="10"/>
      <c r="F34" s="13"/>
      <c r="G34" s="13"/>
      <c r="H34" s="15"/>
      <c r="J34"/>
      <c r="O34"/>
    </row>
    <row r="35" spans="1:15" s="14" customFormat="1" x14ac:dyDescent="0.25">
      <c r="A35" s="9"/>
      <c r="B35" s="9"/>
      <c r="C35" s="9"/>
      <c r="D35" s="13"/>
      <c r="E35" s="10"/>
      <c r="F35" s="13"/>
      <c r="G35" s="13"/>
      <c r="H35" s="15"/>
      <c r="J35"/>
      <c r="O35"/>
    </row>
    <row r="36" spans="1:15" s="14" customFormat="1" x14ac:dyDescent="0.25">
      <c r="A36" s="9"/>
      <c r="B36" s="9"/>
      <c r="C36" s="9"/>
      <c r="D36" s="13"/>
      <c r="E36" s="10"/>
      <c r="F36" s="13"/>
      <c r="G36" s="13"/>
      <c r="H36" s="15"/>
      <c r="J36"/>
      <c r="O36"/>
    </row>
    <row r="37" spans="1:15" s="14" customFormat="1" x14ac:dyDescent="0.25">
      <c r="A37" s="9"/>
      <c r="B37" s="9"/>
      <c r="C37" s="9"/>
      <c r="D37" s="13"/>
      <c r="E37" s="10"/>
      <c r="F37" s="13"/>
      <c r="G37" s="13"/>
      <c r="H37" s="15"/>
      <c r="J37"/>
      <c r="O37"/>
    </row>
    <row r="38" spans="1:15" s="14" customFormat="1" x14ac:dyDescent="0.25">
      <c r="A38" s="9"/>
      <c r="B38" s="9"/>
      <c r="C38" s="9"/>
      <c r="D38" s="13"/>
      <c r="E38" s="10"/>
      <c r="F38" s="13"/>
      <c r="G38" s="13"/>
      <c r="H38" s="15"/>
      <c r="J38"/>
      <c r="O38"/>
    </row>
    <row r="39" spans="1:15" s="14" customFormat="1" x14ac:dyDescent="0.25">
      <c r="A39" s="9"/>
      <c r="B39" s="9"/>
      <c r="C39" s="9"/>
      <c r="D39" s="13"/>
      <c r="E39" s="10"/>
      <c r="F39" s="13"/>
      <c r="G39" s="13"/>
      <c r="H39" s="15"/>
      <c r="J39"/>
      <c r="O39"/>
    </row>
    <row r="40" spans="1:15" s="14" customFormat="1" x14ac:dyDescent="0.25">
      <c r="A40" s="9"/>
      <c r="B40" s="9"/>
      <c r="C40" s="9"/>
      <c r="D40" s="13"/>
      <c r="E40" s="10"/>
      <c r="F40" s="13"/>
      <c r="G40" s="13"/>
      <c r="H40" s="15"/>
      <c r="J40"/>
      <c r="O40"/>
    </row>
    <row r="41" spans="1:15" s="14" customFormat="1" x14ac:dyDescent="0.25">
      <c r="A41" s="9"/>
      <c r="B41" s="9"/>
      <c r="C41" s="9"/>
      <c r="D41" s="13"/>
      <c r="E41" s="10"/>
      <c r="F41" s="13"/>
      <c r="G41" s="13"/>
      <c r="H41" s="15"/>
      <c r="J41"/>
      <c r="O41"/>
    </row>
    <row r="42" spans="1:15" s="14" customFormat="1" x14ac:dyDescent="0.25">
      <c r="A42" s="9"/>
      <c r="B42" s="9"/>
      <c r="C42" s="9"/>
      <c r="D42" s="13"/>
      <c r="E42" s="10"/>
      <c r="F42" s="13"/>
      <c r="G42" s="13"/>
      <c r="H42" s="15"/>
      <c r="J42"/>
      <c r="O42"/>
    </row>
  </sheetData>
  <phoneticPr fontId="4" type="noConversion"/>
  <conditionalFormatting sqref="A3">
    <cfRule type="duplicateValues" dxfId="47" priority="5"/>
    <cfRule type="duplicateValues" dxfId="46" priority="8"/>
  </conditionalFormatting>
  <conditionalFormatting sqref="A1:B3">
    <cfRule type="duplicateValues" dxfId="45" priority="3"/>
  </conditionalFormatting>
  <conditionalFormatting sqref="B2:B3">
    <cfRule type="duplicateValues" dxfId="44" priority="4"/>
  </conditionalFormatting>
  <conditionalFormatting sqref="B3">
    <cfRule type="duplicateValues" dxfId="43" priority="6"/>
    <cfRule type="duplicateValues" dxfId="42" priority="7"/>
  </conditionalFormatting>
  <conditionalFormatting sqref="A40:A1048576 A1:A3">
    <cfRule type="duplicateValues" dxfId="41" priority="9"/>
  </conditionalFormatting>
  <conditionalFormatting sqref="B40:B1048576 B1:B3">
    <cfRule type="duplicateValues" dxfId="40" priority="10"/>
  </conditionalFormatting>
  <conditionalFormatting sqref="A4:A39">
    <cfRule type="duplicateValues" dxfId="39" priority="14"/>
  </conditionalFormatting>
  <conditionalFormatting sqref="B4:B39">
    <cfRule type="duplicateValues" dxfId="38" priority="16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46B5-10FA-48BA-AD45-80E2A130FCFF}">
  <dimension ref="A1:N38"/>
  <sheetViews>
    <sheetView tabSelected="1" workbookViewId="0">
      <pane ySplit="3" topLeftCell="A4" activePane="bottomLeft" state="frozen"/>
      <selection pane="bottomLeft" activeCell="C28" sqref="C28:C30"/>
    </sheetView>
  </sheetViews>
  <sheetFormatPr defaultRowHeight="15" x14ac:dyDescent="0.25"/>
  <cols>
    <col min="1" max="1" width="10.140625" bestFit="1" customWidth="1"/>
    <col min="2" max="2" width="15.5703125" customWidth="1"/>
    <col min="3" max="3" width="38.28515625" customWidth="1"/>
    <col min="4" max="5" width="15.85546875" style="14" customWidth="1"/>
    <col min="6" max="6" width="17.28515625" style="14" customWidth="1"/>
    <col min="7" max="7" width="9.7109375" style="16" bestFit="1" customWidth="1"/>
    <col min="8" max="8" width="12.85546875" style="14" customWidth="1"/>
    <col min="9" max="9" width="6" customWidth="1"/>
    <col min="10" max="10" width="16" style="14" customWidth="1"/>
    <col min="11" max="11" width="16.28515625" customWidth="1"/>
    <col min="12" max="12" width="15.85546875" style="14" customWidth="1"/>
    <col min="13" max="13" width="18.140625" style="14" customWidth="1"/>
  </cols>
  <sheetData>
    <row r="1" spans="1:14" x14ac:dyDescent="0.25">
      <c r="B1" s="1"/>
      <c r="C1" s="2" t="s">
        <v>4</v>
      </c>
      <c r="D1" s="11"/>
      <c r="E1" s="11"/>
      <c r="F1" s="11"/>
      <c r="J1" s="11"/>
      <c r="K1" s="3"/>
      <c r="L1" s="11"/>
    </row>
    <row r="2" spans="1:14" x14ac:dyDescent="0.25">
      <c r="B2" s="1"/>
      <c r="D2" s="11"/>
      <c r="E2" s="11"/>
      <c r="F2" s="11"/>
      <c r="J2" s="11"/>
      <c r="K2" s="3"/>
      <c r="L2" s="11"/>
      <c r="N2" s="4"/>
    </row>
    <row r="3" spans="1:14" ht="20.100000000000001" customHeight="1" x14ac:dyDescent="0.25">
      <c r="A3" s="5" t="s">
        <v>0</v>
      </c>
      <c r="B3" s="6" t="s">
        <v>1</v>
      </c>
      <c r="C3" s="5" t="s">
        <v>2</v>
      </c>
      <c r="D3" s="12" t="s">
        <v>72</v>
      </c>
      <c r="E3" s="12" t="s">
        <v>83</v>
      </c>
      <c r="F3" s="12" t="s">
        <v>74</v>
      </c>
      <c r="G3" s="5" t="s">
        <v>111</v>
      </c>
      <c r="J3" s="17" t="s">
        <v>55</v>
      </c>
      <c r="K3" s="18" t="s">
        <v>73</v>
      </c>
      <c r="L3" s="17" t="s">
        <v>56</v>
      </c>
      <c r="N3" s="8"/>
    </row>
    <row r="4" spans="1:14" x14ac:dyDescent="0.25">
      <c r="A4" s="9" t="s">
        <v>154</v>
      </c>
      <c r="B4" s="9">
        <v>455008</v>
      </c>
      <c r="C4" s="22" t="s">
        <v>272</v>
      </c>
      <c r="D4" s="13">
        <v>3000</v>
      </c>
      <c r="E4" s="13" t="s">
        <v>84</v>
      </c>
      <c r="F4" s="13">
        <v>6000</v>
      </c>
      <c r="G4" s="15">
        <v>160</v>
      </c>
      <c r="H4" s="14">
        <f>F4-D4</f>
        <v>3000</v>
      </c>
      <c r="J4" s="13"/>
      <c r="K4" s="10"/>
      <c r="L4" s="13"/>
    </row>
    <row r="5" spans="1:14" x14ac:dyDescent="0.25">
      <c r="A5" s="9" t="s">
        <v>155</v>
      </c>
      <c r="B5" s="9">
        <v>455009</v>
      </c>
      <c r="C5" s="22" t="s">
        <v>85</v>
      </c>
      <c r="D5" s="13">
        <v>2700</v>
      </c>
      <c r="E5" s="13" t="s">
        <v>273</v>
      </c>
      <c r="F5" s="13">
        <v>6000</v>
      </c>
      <c r="G5" s="15">
        <v>140</v>
      </c>
      <c r="H5" s="14">
        <f t="shared" ref="H5:H6" si="0">F5-D5</f>
        <v>3300</v>
      </c>
      <c r="J5" s="13"/>
      <c r="K5" s="10"/>
      <c r="L5" s="13"/>
    </row>
    <row r="6" spans="1:14" x14ac:dyDescent="0.25">
      <c r="A6" s="9" t="s">
        <v>156</v>
      </c>
      <c r="B6" s="9">
        <v>455010</v>
      </c>
      <c r="C6" s="22" t="s">
        <v>86</v>
      </c>
      <c r="D6" s="13">
        <v>2700</v>
      </c>
      <c r="E6" s="13" t="s">
        <v>274</v>
      </c>
      <c r="F6" s="13">
        <v>6000</v>
      </c>
      <c r="G6" s="15">
        <v>180</v>
      </c>
      <c r="H6" s="14">
        <f t="shared" si="0"/>
        <v>3300</v>
      </c>
      <c r="J6" s="13"/>
      <c r="K6" s="10"/>
      <c r="L6" s="13"/>
    </row>
    <row r="7" spans="1:14" x14ac:dyDescent="0.25">
      <c r="A7" s="9" t="s">
        <v>276</v>
      </c>
      <c r="B7" s="9">
        <v>455011</v>
      </c>
      <c r="C7" s="23" t="s">
        <v>275</v>
      </c>
      <c r="D7" s="13"/>
      <c r="E7" s="13"/>
      <c r="F7" s="13">
        <v>645000</v>
      </c>
      <c r="G7" s="15">
        <v>3</v>
      </c>
      <c r="J7" s="13">
        <v>59000</v>
      </c>
      <c r="K7" s="10" t="s">
        <v>277</v>
      </c>
      <c r="L7" s="13">
        <v>75000</v>
      </c>
    </row>
    <row r="8" spans="1:14" x14ac:dyDescent="0.25">
      <c r="A8" s="9"/>
      <c r="B8" s="9"/>
      <c r="C8" s="20"/>
      <c r="D8" s="13"/>
      <c r="E8" s="13"/>
      <c r="F8" s="13"/>
      <c r="G8" s="15"/>
      <c r="J8" s="13"/>
      <c r="K8" s="10"/>
      <c r="L8" s="13"/>
    </row>
    <row r="9" spans="1:14" x14ac:dyDescent="0.25">
      <c r="A9" s="9"/>
      <c r="B9" s="9"/>
      <c r="C9" s="20"/>
      <c r="D9" s="13"/>
      <c r="E9" s="13"/>
      <c r="F9" s="13"/>
      <c r="G9" s="15"/>
      <c r="J9" s="13"/>
      <c r="K9" s="10"/>
      <c r="L9" s="13"/>
    </row>
    <row r="10" spans="1:14" x14ac:dyDescent="0.25">
      <c r="A10" s="9"/>
      <c r="B10" s="9"/>
      <c r="C10" s="9"/>
      <c r="D10" s="13"/>
      <c r="E10" s="13"/>
      <c r="F10" s="13"/>
      <c r="G10" s="15"/>
      <c r="J10" s="13"/>
      <c r="K10" s="10"/>
      <c r="L10" s="13"/>
    </row>
    <row r="11" spans="1:14" x14ac:dyDescent="0.25">
      <c r="A11" s="9"/>
      <c r="B11" s="9"/>
      <c r="C11" s="9"/>
      <c r="D11" s="13"/>
      <c r="E11" s="13"/>
      <c r="F11" s="13"/>
      <c r="G11" s="15"/>
      <c r="J11" s="13"/>
      <c r="K11" s="10"/>
      <c r="L11" s="13"/>
    </row>
    <row r="12" spans="1:14" x14ac:dyDescent="0.25">
      <c r="A12" s="9"/>
      <c r="B12" s="9"/>
      <c r="C12" s="9"/>
      <c r="D12" s="13"/>
      <c r="E12" s="13"/>
      <c r="F12" s="13"/>
      <c r="G12" s="15"/>
      <c r="J12" s="13"/>
      <c r="K12" s="10"/>
      <c r="L12" s="13"/>
    </row>
    <row r="13" spans="1:14" s="14" customFormat="1" x14ac:dyDescent="0.25">
      <c r="A13" s="9" t="s">
        <v>150</v>
      </c>
      <c r="B13" s="9"/>
      <c r="C13" s="20" t="s">
        <v>136</v>
      </c>
      <c r="D13" s="21"/>
      <c r="E13" s="21"/>
      <c r="F13" s="21">
        <v>120000</v>
      </c>
      <c r="G13" s="15">
        <v>3</v>
      </c>
      <c r="I13"/>
      <c r="J13" s="21">
        <v>61000</v>
      </c>
      <c r="K13" s="20" t="s">
        <v>137</v>
      </c>
      <c r="L13" s="21">
        <v>75000</v>
      </c>
      <c r="N13"/>
    </row>
    <row r="14" spans="1:14" s="14" customFormat="1" x14ac:dyDescent="0.25">
      <c r="A14" s="9" t="s">
        <v>151</v>
      </c>
      <c r="B14" s="9"/>
      <c r="C14" s="20" t="s">
        <v>140</v>
      </c>
      <c r="D14" s="21"/>
      <c r="E14" s="21"/>
      <c r="F14" s="21">
        <v>540000</v>
      </c>
      <c r="G14" s="15">
        <v>2</v>
      </c>
      <c r="I14"/>
      <c r="J14" s="21">
        <v>60100</v>
      </c>
      <c r="K14" s="20" t="s">
        <v>141</v>
      </c>
      <c r="L14" s="21">
        <v>75000</v>
      </c>
      <c r="N14"/>
    </row>
    <row r="15" spans="1:14" s="14" customFormat="1" x14ac:dyDescent="0.25">
      <c r="A15" s="9" t="s">
        <v>152</v>
      </c>
      <c r="B15" s="9"/>
      <c r="C15" s="20" t="s">
        <v>142</v>
      </c>
      <c r="D15" s="21"/>
      <c r="E15" s="21"/>
      <c r="F15" s="21">
        <v>525000</v>
      </c>
      <c r="G15" s="15">
        <v>1</v>
      </c>
      <c r="I15"/>
      <c r="J15" s="21">
        <v>60100</v>
      </c>
      <c r="K15" s="20" t="s">
        <v>141</v>
      </c>
      <c r="L15" s="21">
        <v>75000</v>
      </c>
      <c r="N15"/>
    </row>
    <row r="16" spans="1:14" s="14" customFormat="1" x14ac:dyDescent="0.25">
      <c r="A16" s="9" t="s">
        <v>153</v>
      </c>
      <c r="B16" s="9"/>
      <c r="C16" s="20" t="s">
        <v>143</v>
      </c>
      <c r="D16" s="21"/>
      <c r="E16" s="21"/>
      <c r="F16" s="21">
        <v>758000</v>
      </c>
      <c r="G16" s="15">
        <v>1</v>
      </c>
      <c r="I16"/>
      <c r="J16" s="21">
        <v>60100</v>
      </c>
      <c r="K16" s="20" t="s">
        <v>141</v>
      </c>
      <c r="L16" s="21">
        <v>75000</v>
      </c>
      <c r="N16"/>
    </row>
    <row r="17" spans="1:14" s="14" customFormat="1" x14ac:dyDescent="0.25">
      <c r="A17" s="9" t="s">
        <v>201</v>
      </c>
      <c r="B17" s="9"/>
      <c r="C17" s="9" t="s">
        <v>190</v>
      </c>
      <c r="D17" s="13"/>
      <c r="E17" s="13"/>
      <c r="F17" s="13">
        <v>75000</v>
      </c>
      <c r="G17" s="15">
        <v>3</v>
      </c>
      <c r="I17"/>
      <c r="J17" s="13">
        <v>60000</v>
      </c>
      <c r="K17" s="10" t="s">
        <v>191</v>
      </c>
      <c r="L17" s="13">
        <v>75000</v>
      </c>
      <c r="N17"/>
    </row>
    <row r="18" spans="1:14" s="14" customFormat="1" x14ac:dyDescent="0.25">
      <c r="A18" s="9" t="s">
        <v>202</v>
      </c>
      <c r="B18" s="9"/>
      <c r="C18" s="9" t="s">
        <v>192</v>
      </c>
      <c r="D18" s="13"/>
      <c r="E18" s="13"/>
      <c r="F18" s="13">
        <v>480000</v>
      </c>
      <c r="G18" s="15">
        <v>5</v>
      </c>
      <c r="I18"/>
      <c r="J18" s="13">
        <v>60000</v>
      </c>
      <c r="K18" s="10" t="s">
        <v>191</v>
      </c>
      <c r="L18" s="13">
        <v>75000</v>
      </c>
      <c r="N18"/>
    </row>
    <row r="19" spans="1:14" s="14" customFormat="1" x14ac:dyDescent="0.25">
      <c r="A19" s="9" t="s">
        <v>203</v>
      </c>
      <c r="B19" s="9"/>
      <c r="C19" s="9" t="s">
        <v>193</v>
      </c>
      <c r="D19" s="13"/>
      <c r="E19" s="13"/>
      <c r="F19" s="13">
        <v>75000</v>
      </c>
      <c r="G19" s="15">
        <v>10</v>
      </c>
      <c r="I19"/>
      <c r="J19" s="13">
        <v>60000</v>
      </c>
      <c r="K19" s="10" t="s">
        <v>191</v>
      </c>
      <c r="L19" s="13">
        <v>75000</v>
      </c>
      <c r="N19"/>
    </row>
    <row r="20" spans="1:14" s="14" customFormat="1" x14ac:dyDescent="0.25">
      <c r="A20" s="9" t="s">
        <v>204</v>
      </c>
      <c r="B20" s="9"/>
      <c r="C20" s="9" t="s">
        <v>194</v>
      </c>
      <c r="D20" s="13"/>
      <c r="E20" s="13"/>
      <c r="F20" s="13">
        <v>128000</v>
      </c>
      <c r="G20" s="15">
        <v>5</v>
      </c>
      <c r="I20"/>
      <c r="J20" s="13">
        <v>60000</v>
      </c>
      <c r="K20" s="10" t="s">
        <v>191</v>
      </c>
      <c r="L20" s="13">
        <v>75000</v>
      </c>
      <c r="N20"/>
    </row>
    <row r="21" spans="1:14" s="14" customFormat="1" x14ac:dyDescent="0.25">
      <c r="A21" s="9" t="s">
        <v>205</v>
      </c>
      <c r="B21" s="9"/>
      <c r="C21" s="9" t="s">
        <v>195</v>
      </c>
      <c r="D21" s="13"/>
      <c r="E21" s="13"/>
      <c r="F21" s="13">
        <v>195000</v>
      </c>
      <c r="G21" s="15">
        <v>3</v>
      </c>
      <c r="I21"/>
      <c r="J21" s="13">
        <v>60000</v>
      </c>
      <c r="K21" s="10" t="s">
        <v>191</v>
      </c>
      <c r="L21" s="13">
        <v>75000</v>
      </c>
      <c r="N21"/>
    </row>
    <row r="22" spans="1:14" s="14" customFormat="1" x14ac:dyDescent="0.25">
      <c r="A22" s="9" t="s">
        <v>206</v>
      </c>
      <c r="B22" s="9"/>
      <c r="C22" s="9" t="s">
        <v>196</v>
      </c>
      <c r="D22" s="13"/>
      <c r="E22" s="13"/>
      <c r="F22" s="13">
        <v>495000</v>
      </c>
      <c r="G22" s="15">
        <v>3</v>
      </c>
      <c r="I22"/>
      <c r="J22" s="13">
        <v>60000</v>
      </c>
      <c r="K22" s="10" t="s">
        <v>191</v>
      </c>
      <c r="L22" s="13">
        <v>75000</v>
      </c>
      <c r="N22"/>
    </row>
    <row r="23" spans="1:14" s="14" customFormat="1" x14ac:dyDescent="0.25">
      <c r="A23" s="9" t="s">
        <v>207</v>
      </c>
      <c r="B23" s="9"/>
      <c r="C23" s="9" t="s">
        <v>197</v>
      </c>
      <c r="D23" s="13"/>
      <c r="E23" s="13"/>
      <c r="F23" s="13">
        <v>608000</v>
      </c>
      <c r="G23" s="15">
        <v>1</v>
      </c>
      <c r="I23"/>
      <c r="J23" s="13">
        <v>60000</v>
      </c>
      <c r="K23" s="10" t="s">
        <v>191</v>
      </c>
      <c r="L23" s="13">
        <v>75000</v>
      </c>
      <c r="N23"/>
    </row>
    <row r="24" spans="1:14" s="14" customFormat="1" x14ac:dyDescent="0.25">
      <c r="A24" s="9" t="s">
        <v>208</v>
      </c>
      <c r="B24" s="9"/>
      <c r="C24" s="9" t="s">
        <v>198</v>
      </c>
      <c r="D24" s="13"/>
      <c r="E24" s="13"/>
      <c r="F24" s="13">
        <v>630000</v>
      </c>
      <c r="G24" s="15">
        <v>1</v>
      </c>
      <c r="I24"/>
      <c r="J24" s="13">
        <v>60000</v>
      </c>
      <c r="K24" s="10" t="s">
        <v>191</v>
      </c>
      <c r="L24" s="13">
        <v>75000</v>
      </c>
      <c r="N24"/>
    </row>
    <row r="25" spans="1:14" s="14" customFormat="1" x14ac:dyDescent="0.25">
      <c r="A25" s="9" t="s">
        <v>209</v>
      </c>
      <c r="B25" s="9"/>
      <c r="C25" s="9" t="s">
        <v>199</v>
      </c>
      <c r="D25" s="13"/>
      <c r="E25" s="13"/>
      <c r="F25" s="13">
        <v>195000</v>
      </c>
      <c r="G25" s="15">
        <v>3</v>
      </c>
      <c r="I25"/>
      <c r="J25" s="13">
        <v>60000</v>
      </c>
      <c r="K25" s="10" t="s">
        <v>191</v>
      </c>
      <c r="L25" s="13">
        <v>75000</v>
      </c>
      <c r="N25"/>
    </row>
    <row r="26" spans="1:14" s="14" customFormat="1" x14ac:dyDescent="0.25">
      <c r="A26" s="9" t="s">
        <v>210</v>
      </c>
      <c r="B26" s="9"/>
      <c r="C26" s="9" t="s">
        <v>200</v>
      </c>
      <c r="D26" s="13"/>
      <c r="E26" s="13"/>
      <c r="F26" s="13">
        <v>285000</v>
      </c>
      <c r="G26" s="15">
        <v>2</v>
      </c>
      <c r="I26"/>
      <c r="J26" s="13">
        <v>60000</v>
      </c>
      <c r="K26" s="10" t="s">
        <v>191</v>
      </c>
      <c r="L26" s="13">
        <v>75000</v>
      </c>
      <c r="N26"/>
    </row>
    <row r="27" spans="1:14" s="14" customFormat="1" x14ac:dyDescent="0.25">
      <c r="A27" s="9" t="s">
        <v>278</v>
      </c>
      <c r="B27" s="9"/>
      <c r="C27" s="23" t="s">
        <v>282</v>
      </c>
      <c r="D27" s="13"/>
      <c r="E27" s="13"/>
      <c r="F27" s="13">
        <v>660000</v>
      </c>
      <c r="G27" s="15">
        <v>5</v>
      </c>
      <c r="I27"/>
      <c r="J27" s="13">
        <v>60000</v>
      </c>
      <c r="K27" s="10" t="s">
        <v>191</v>
      </c>
      <c r="L27" s="13">
        <v>75000</v>
      </c>
      <c r="N27"/>
    </row>
    <row r="28" spans="1:14" s="14" customFormat="1" x14ac:dyDescent="0.25">
      <c r="A28" s="9" t="s">
        <v>279</v>
      </c>
      <c r="B28" s="9"/>
      <c r="C28" s="24" t="s">
        <v>283</v>
      </c>
      <c r="D28" s="13"/>
      <c r="E28" s="13"/>
      <c r="F28" s="13">
        <v>780000</v>
      </c>
      <c r="G28" s="15">
        <v>1</v>
      </c>
      <c r="I28"/>
      <c r="J28" s="13">
        <v>60000</v>
      </c>
      <c r="K28" s="10" t="s">
        <v>191</v>
      </c>
      <c r="L28" s="13">
        <v>75000</v>
      </c>
      <c r="N28"/>
    </row>
    <row r="29" spans="1:14" s="14" customFormat="1" x14ac:dyDescent="0.25">
      <c r="A29" s="9" t="s">
        <v>280</v>
      </c>
      <c r="B29" s="9"/>
      <c r="C29" s="24" t="s">
        <v>284</v>
      </c>
      <c r="D29" s="13"/>
      <c r="E29" s="13"/>
      <c r="F29" s="13">
        <v>750000</v>
      </c>
      <c r="G29" s="15">
        <v>1</v>
      </c>
      <c r="I29"/>
      <c r="J29" s="13">
        <v>60000</v>
      </c>
      <c r="K29" s="10" t="s">
        <v>191</v>
      </c>
      <c r="L29" s="13">
        <v>75000</v>
      </c>
      <c r="N29"/>
    </row>
    <row r="30" spans="1:14" s="14" customFormat="1" x14ac:dyDescent="0.25">
      <c r="A30" s="9" t="s">
        <v>281</v>
      </c>
      <c r="B30" s="9"/>
      <c r="C30" s="24" t="s">
        <v>285</v>
      </c>
      <c r="D30" s="13"/>
      <c r="E30" s="13"/>
      <c r="F30" s="13">
        <v>765000</v>
      </c>
      <c r="G30" s="15">
        <v>1</v>
      </c>
      <c r="I30"/>
      <c r="J30" s="13">
        <v>60000</v>
      </c>
      <c r="K30" s="10" t="s">
        <v>191</v>
      </c>
      <c r="L30" s="13">
        <v>75000</v>
      </c>
      <c r="N30"/>
    </row>
    <row r="31" spans="1:14" s="14" customFormat="1" x14ac:dyDescent="0.25">
      <c r="A31" s="9"/>
      <c r="B31" s="9"/>
      <c r="C31" s="9"/>
      <c r="D31" s="13"/>
      <c r="E31" s="13"/>
      <c r="F31" s="13"/>
      <c r="G31" s="15"/>
      <c r="I31"/>
      <c r="J31" s="13"/>
      <c r="K31" s="10"/>
      <c r="L31" s="13"/>
      <c r="N31"/>
    </row>
    <row r="32" spans="1:14" s="14" customFormat="1" x14ac:dyDescent="0.25">
      <c r="A32" s="9"/>
      <c r="B32" s="9"/>
      <c r="C32" s="9"/>
      <c r="D32" s="13"/>
      <c r="E32" s="13"/>
      <c r="F32" s="13"/>
      <c r="G32" s="15"/>
      <c r="I32"/>
      <c r="J32" s="13"/>
      <c r="K32" s="10"/>
      <c r="L32" s="13"/>
      <c r="N32"/>
    </row>
    <row r="33" spans="1:14" s="14" customFormat="1" ht="15.75" customHeight="1" x14ac:dyDescent="0.25">
      <c r="A33" s="9"/>
      <c r="B33" s="9"/>
      <c r="C33" s="9"/>
      <c r="D33" s="13"/>
      <c r="E33" s="13"/>
      <c r="F33" s="13"/>
      <c r="G33" s="15"/>
      <c r="I33"/>
      <c r="J33" s="13"/>
      <c r="K33" s="10"/>
      <c r="L33" s="13"/>
      <c r="N33"/>
    </row>
    <row r="38" spans="1:14" x14ac:dyDescent="0.25">
      <c r="C38" s="9"/>
      <c r="D38"/>
      <c r="G38" s="14"/>
      <c r="H38" s="16"/>
      <c r="I38" s="14"/>
      <c r="J38"/>
      <c r="K38" s="14"/>
      <c r="L38"/>
      <c r="N38" s="14"/>
    </row>
  </sheetData>
  <phoneticPr fontId="4" type="noConversion"/>
  <conditionalFormatting sqref="A3">
    <cfRule type="duplicateValues" dxfId="37" priority="6"/>
    <cfRule type="duplicateValues" dxfId="36" priority="9"/>
  </conditionalFormatting>
  <conditionalFormatting sqref="A1:B3">
    <cfRule type="duplicateValues" dxfId="35" priority="4"/>
  </conditionalFormatting>
  <conditionalFormatting sqref="B2:B3">
    <cfRule type="duplicateValues" dxfId="34" priority="5"/>
  </conditionalFormatting>
  <conditionalFormatting sqref="B3">
    <cfRule type="duplicateValues" dxfId="33" priority="7"/>
    <cfRule type="duplicateValues" dxfId="32" priority="8"/>
  </conditionalFormatting>
  <conditionalFormatting sqref="A32:A1048576 A1:A3">
    <cfRule type="duplicateValues" dxfId="31" priority="25"/>
  </conditionalFormatting>
  <conditionalFormatting sqref="B17:B1048576 B1:B3">
    <cfRule type="duplicateValues" dxfId="30" priority="28"/>
  </conditionalFormatting>
  <conditionalFormatting sqref="C38">
    <cfRule type="duplicateValues" dxfId="29" priority="1"/>
  </conditionalFormatting>
  <conditionalFormatting sqref="A4:A31">
    <cfRule type="duplicateValues" dxfId="1" priority="76"/>
  </conditionalFormatting>
  <conditionalFormatting sqref="B4:B16">
    <cfRule type="duplicateValues" dxfId="0" priority="78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3281-4C6F-45F8-93CA-6B76F0AEFA9C}">
  <dimension ref="A1:O20"/>
  <sheetViews>
    <sheetView workbookViewId="0">
      <pane ySplit="3" topLeftCell="A4" activePane="bottomLeft" state="frozen"/>
      <selection pane="bottomLeft" activeCell="H25" sqref="H25"/>
    </sheetView>
  </sheetViews>
  <sheetFormatPr defaultRowHeight="15" x14ac:dyDescent="0.25"/>
  <cols>
    <col min="1" max="1" width="10.140625" bestFit="1" customWidth="1"/>
    <col min="2" max="2" width="15.5703125" customWidth="1"/>
    <col min="3" max="3" width="38.28515625" customWidth="1"/>
    <col min="4" max="6" width="15.85546875" style="14" customWidth="1"/>
    <col min="7" max="7" width="17.28515625" style="14" customWidth="1"/>
    <col min="8" max="8" width="9.7109375" style="16" bestFit="1" customWidth="1"/>
    <col min="9" max="9" width="12.85546875" style="14" customWidth="1"/>
    <col min="10" max="10" width="6" customWidth="1"/>
    <col min="11" max="11" width="16" style="14" customWidth="1"/>
    <col min="12" max="12" width="16.28515625" customWidth="1"/>
    <col min="13" max="13" width="15.85546875" style="14" customWidth="1"/>
    <col min="14" max="14" width="18.140625" style="14" customWidth="1"/>
  </cols>
  <sheetData>
    <row r="1" spans="1:15" x14ac:dyDescent="0.25">
      <c r="B1" s="1"/>
      <c r="C1" s="2" t="s">
        <v>4</v>
      </c>
      <c r="D1" s="11"/>
      <c r="E1" s="11"/>
      <c r="F1" s="11"/>
      <c r="G1" s="11"/>
      <c r="K1" s="11"/>
      <c r="L1" s="3"/>
      <c r="M1" s="11"/>
    </row>
    <row r="2" spans="1:15" x14ac:dyDescent="0.25">
      <c r="B2" s="1"/>
      <c r="D2" s="11"/>
      <c r="E2" s="11"/>
      <c r="F2" s="11"/>
      <c r="G2" s="11"/>
      <c r="K2" s="11"/>
      <c r="L2" s="3"/>
      <c r="M2" s="11"/>
      <c r="O2" s="4"/>
    </row>
    <row r="3" spans="1:15" ht="20.100000000000001" customHeight="1" x14ac:dyDescent="0.25">
      <c r="A3" s="5" t="s">
        <v>0</v>
      </c>
      <c r="B3" s="6" t="s">
        <v>1</v>
      </c>
      <c r="C3" s="5" t="s">
        <v>2</v>
      </c>
      <c r="D3" s="17" t="s">
        <v>55</v>
      </c>
      <c r="E3" s="18" t="s">
        <v>73</v>
      </c>
      <c r="F3" s="17" t="s">
        <v>56</v>
      </c>
      <c r="G3" s="12" t="s">
        <v>74</v>
      </c>
      <c r="H3" s="5" t="s">
        <v>111</v>
      </c>
      <c r="O3" s="8"/>
    </row>
    <row r="4" spans="1:15" x14ac:dyDescent="0.25">
      <c r="A4" s="9" t="s">
        <v>187</v>
      </c>
      <c r="B4" s="9"/>
      <c r="C4" s="20" t="s">
        <v>145</v>
      </c>
      <c r="D4" s="21">
        <v>61000</v>
      </c>
      <c r="E4" s="20" t="s">
        <v>144</v>
      </c>
      <c r="F4" s="21">
        <v>75000</v>
      </c>
      <c r="G4" s="21">
        <v>240000</v>
      </c>
      <c r="H4" s="15">
        <v>2</v>
      </c>
    </row>
    <row r="5" spans="1:15" x14ac:dyDescent="0.25">
      <c r="A5" s="9" t="s">
        <v>189</v>
      </c>
      <c r="B5" s="9"/>
      <c r="C5" s="20" t="s">
        <v>146</v>
      </c>
      <c r="D5" s="21">
        <v>61000</v>
      </c>
      <c r="E5" s="20" t="s">
        <v>144</v>
      </c>
      <c r="F5" s="21">
        <v>75000</v>
      </c>
      <c r="G5" s="21">
        <v>225000</v>
      </c>
      <c r="H5" s="15">
        <v>3</v>
      </c>
    </row>
    <row r="6" spans="1:15" x14ac:dyDescent="0.25">
      <c r="A6" s="9" t="s">
        <v>263</v>
      </c>
      <c r="B6" s="9"/>
      <c r="C6" s="9" t="s">
        <v>250</v>
      </c>
      <c r="D6" s="13">
        <v>50000</v>
      </c>
      <c r="E6" s="10" t="s">
        <v>251</v>
      </c>
      <c r="F6" s="13">
        <v>70000</v>
      </c>
      <c r="G6" s="13">
        <v>182000</v>
      </c>
      <c r="H6" s="15">
        <v>6</v>
      </c>
      <c r="K6"/>
      <c r="M6"/>
    </row>
    <row r="7" spans="1:15" x14ac:dyDescent="0.25">
      <c r="A7" s="9" t="s">
        <v>264</v>
      </c>
      <c r="B7" s="9"/>
      <c r="C7" s="9" t="s">
        <v>252</v>
      </c>
      <c r="D7" s="13">
        <v>60000</v>
      </c>
      <c r="E7" s="10" t="s">
        <v>253</v>
      </c>
      <c r="F7" s="13">
        <v>75000</v>
      </c>
      <c r="G7" s="13">
        <v>315000</v>
      </c>
      <c r="H7" s="15">
        <v>3</v>
      </c>
      <c r="K7"/>
      <c r="M7"/>
    </row>
    <row r="8" spans="1:15" x14ac:dyDescent="0.25">
      <c r="A8" s="9" t="s">
        <v>265</v>
      </c>
      <c r="B8" s="9"/>
      <c r="C8" s="9" t="s">
        <v>254</v>
      </c>
      <c r="D8" s="13">
        <v>60000</v>
      </c>
      <c r="E8" s="10" t="s">
        <v>253</v>
      </c>
      <c r="F8" s="13">
        <v>75000</v>
      </c>
      <c r="G8" s="13">
        <v>150000</v>
      </c>
      <c r="H8" s="15">
        <v>3</v>
      </c>
      <c r="K8"/>
      <c r="M8"/>
    </row>
    <row r="9" spans="1:15" x14ac:dyDescent="0.25">
      <c r="A9" s="9" t="s">
        <v>266</v>
      </c>
      <c r="B9" s="9"/>
      <c r="C9" s="9" t="s">
        <v>255</v>
      </c>
      <c r="D9" s="13">
        <v>60000</v>
      </c>
      <c r="E9" s="10" t="s">
        <v>253</v>
      </c>
      <c r="F9" s="13">
        <v>75000</v>
      </c>
      <c r="G9" s="13">
        <v>173000</v>
      </c>
      <c r="H9" s="15">
        <v>2</v>
      </c>
      <c r="K9"/>
      <c r="M9"/>
    </row>
    <row r="10" spans="1:15" x14ac:dyDescent="0.25">
      <c r="A10" s="9" t="s">
        <v>267</v>
      </c>
      <c r="B10" s="9"/>
      <c r="C10" s="9" t="s">
        <v>256</v>
      </c>
      <c r="D10" s="13">
        <v>60000</v>
      </c>
      <c r="E10" s="10" t="s">
        <v>253</v>
      </c>
      <c r="F10" s="13">
        <v>75000</v>
      </c>
      <c r="G10" s="13">
        <v>270000</v>
      </c>
      <c r="H10" s="15">
        <v>5</v>
      </c>
      <c r="K10"/>
      <c r="M10"/>
    </row>
    <row r="11" spans="1:15" x14ac:dyDescent="0.25">
      <c r="A11" s="9" t="s">
        <v>268</v>
      </c>
      <c r="B11" s="9"/>
      <c r="C11" s="9" t="s">
        <v>257</v>
      </c>
      <c r="D11" s="13">
        <v>60000</v>
      </c>
      <c r="E11" s="10" t="s">
        <v>253</v>
      </c>
      <c r="F11" s="13">
        <v>75000</v>
      </c>
      <c r="G11" s="13">
        <v>293000</v>
      </c>
      <c r="H11" s="15">
        <v>1</v>
      </c>
      <c r="K11"/>
      <c r="M11"/>
    </row>
    <row r="12" spans="1:15" x14ac:dyDescent="0.25">
      <c r="A12" s="9" t="s">
        <v>269</v>
      </c>
      <c r="B12" s="9"/>
      <c r="C12" s="9" t="s">
        <v>258</v>
      </c>
      <c r="D12" s="13">
        <v>60000</v>
      </c>
      <c r="E12" s="10" t="s">
        <v>259</v>
      </c>
      <c r="F12" s="13">
        <v>75000</v>
      </c>
      <c r="G12" s="13">
        <v>218000</v>
      </c>
      <c r="H12" s="15">
        <v>1</v>
      </c>
      <c r="K12"/>
      <c r="M12"/>
    </row>
    <row r="13" spans="1:15" x14ac:dyDescent="0.25">
      <c r="A13" s="9" t="s">
        <v>270</v>
      </c>
      <c r="B13" s="9"/>
      <c r="C13" s="9" t="s">
        <v>260</v>
      </c>
      <c r="D13" s="13">
        <v>60000</v>
      </c>
      <c r="E13" s="10" t="s">
        <v>259</v>
      </c>
      <c r="F13" s="13">
        <v>75000</v>
      </c>
      <c r="G13" s="13">
        <v>233000</v>
      </c>
      <c r="H13" s="15">
        <v>3</v>
      </c>
      <c r="K13"/>
      <c r="M13"/>
    </row>
    <row r="14" spans="1:15" x14ac:dyDescent="0.25">
      <c r="A14" s="9" t="s">
        <v>271</v>
      </c>
      <c r="B14" s="9"/>
      <c r="C14" s="9" t="s">
        <v>261</v>
      </c>
      <c r="D14" s="13">
        <v>60000</v>
      </c>
      <c r="E14" s="10" t="s">
        <v>259</v>
      </c>
      <c r="F14" s="13">
        <v>75000</v>
      </c>
      <c r="G14" s="13">
        <v>240000</v>
      </c>
      <c r="H14" s="15">
        <v>2</v>
      </c>
      <c r="K14"/>
      <c r="M14"/>
    </row>
    <row r="15" spans="1:15" x14ac:dyDescent="0.25">
      <c r="A15" s="9" t="s">
        <v>188</v>
      </c>
      <c r="B15" s="9"/>
      <c r="C15" s="9" t="s">
        <v>262</v>
      </c>
      <c r="D15" s="13">
        <v>60000</v>
      </c>
      <c r="E15" s="10" t="s">
        <v>259</v>
      </c>
      <c r="F15" s="13">
        <v>75000</v>
      </c>
      <c r="G15" s="13">
        <v>338000</v>
      </c>
      <c r="H15" s="15">
        <v>1</v>
      </c>
      <c r="K15"/>
      <c r="M15"/>
    </row>
    <row r="16" spans="1:15" x14ac:dyDescent="0.25">
      <c r="A16" s="9"/>
      <c r="B16" s="9"/>
      <c r="C16" s="9"/>
      <c r="D16" s="13"/>
      <c r="E16" s="10"/>
      <c r="F16" s="13"/>
      <c r="G16" s="13"/>
      <c r="H16" s="15"/>
      <c r="K16"/>
      <c r="M16"/>
    </row>
    <row r="17" spans="1:13" x14ac:dyDescent="0.25">
      <c r="A17" s="9"/>
      <c r="B17" s="9"/>
      <c r="C17" s="9"/>
      <c r="D17" s="13"/>
      <c r="E17" s="10"/>
      <c r="F17" s="13"/>
      <c r="G17" s="13"/>
      <c r="H17" s="15"/>
      <c r="K17"/>
      <c r="M17"/>
    </row>
    <row r="18" spans="1:13" x14ac:dyDescent="0.25">
      <c r="A18" s="9"/>
      <c r="B18" s="9"/>
      <c r="C18" s="9"/>
      <c r="D18" s="13"/>
      <c r="E18" s="10"/>
      <c r="F18" s="13"/>
      <c r="G18" s="13"/>
      <c r="H18" s="15"/>
      <c r="K18"/>
      <c r="M18"/>
    </row>
    <row r="19" spans="1:13" x14ac:dyDescent="0.25">
      <c r="A19" s="9"/>
      <c r="B19" s="9"/>
      <c r="C19" s="9"/>
      <c r="D19" s="13"/>
      <c r="E19" s="10"/>
      <c r="F19" s="13"/>
      <c r="G19" s="13"/>
      <c r="H19" s="15"/>
      <c r="K19"/>
      <c r="M19"/>
    </row>
    <row r="20" spans="1:13" x14ac:dyDescent="0.25">
      <c r="A20" s="9"/>
      <c r="B20" s="9"/>
      <c r="C20" s="9"/>
      <c r="D20" s="13"/>
      <c r="E20" s="10"/>
      <c r="F20" s="13"/>
      <c r="G20" s="13"/>
      <c r="H20" s="15"/>
      <c r="K20"/>
      <c r="M20"/>
    </row>
  </sheetData>
  <phoneticPr fontId="4" type="noConversion"/>
  <conditionalFormatting sqref="A3">
    <cfRule type="duplicateValues" dxfId="28" priority="7"/>
    <cfRule type="duplicateValues" dxfId="27" priority="10"/>
  </conditionalFormatting>
  <conditionalFormatting sqref="A1:B3">
    <cfRule type="duplicateValues" dxfId="26" priority="5"/>
  </conditionalFormatting>
  <conditionalFormatting sqref="B2:B3">
    <cfRule type="duplicateValues" dxfId="25" priority="6"/>
  </conditionalFormatting>
  <conditionalFormatting sqref="B3">
    <cfRule type="duplicateValues" dxfId="24" priority="8"/>
    <cfRule type="duplicateValues" dxfId="23" priority="9"/>
  </conditionalFormatting>
  <conditionalFormatting sqref="A16:A1048576 A1:A3">
    <cfRule type="duplicateValues" dxfId="22" priority="40"/>
  </conditionalFormatting>
  <conditionalFormatting sqref="B6:B1048576 B1:B3">
    <cfRule type="duplicateValues" dxfId="21" priority="43"/>
  </conditionalFormatting>
  <conditionalFormatting sqref="A4:A15">
    <cfRule type="duplicateValues" dxfId="20" priority="46"/>
  </conditionalFormatting>
  <conditionalFormatting sqref="B4:B5">
    <cfRule type="duplicateValues" dxfId="19" priority="47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K37"/>
  <sheetViews>
    <sheetView workbookViewId="0">
      <pane ySplit="3" topLeftCell="A4" activePane="bottomLeft" state="frozen"/>
      <selection pane="bottomLeft" activeCell="O25" sqref="O25"/>
    </sheetView>
  </sheetViews>
  <sheetFormatPr defaultRowHeight="15" x14ac:dyDescent="0.25"/>
  <cols>
    <col min="1" max="1" width="9.42578125" bestFit="1" customWidth="1"/>
    <col min="2" max="2" width="15.5703125" customWidth="1"/>
    <col min="3" max="3" width="32.140625" customWidth="1"/>
    <col min="4" max="4" width="16" style="14" customWidth="1"/>
    <col min="5" max="5" width="16.28515625" customWidth="1"/>
    <col min="6" max="7" width="15.85546875" style="14" customWidth="1"/>
    <col min="8" max="8" width="9.140625" style="16" bestFit="1" customWidth="1"/>
  </cols>
  <sheetData>
    <row r="1" spans="1:11" x14ac:dyDescent="0.25">
      <c r="B1" s="1"/>
      <c r="C1" s="2" t="s">
        <v>4</v>
      </c>
      <c r="D1" s="11"/>
      <c r="E1" s="3"/>
      <c r="F1" s="11"/>
      <c r="G1" s="11"/>
    </row>
    <row r="2" spans="1:11" x14ac:dyDescent="0.25">
      <c r="B2" s="1"/>
      <c r="D2" s="11"/>
      <c r="E2" s="3"/>
      <c r="F2" s="11"/>
      <c r="G2" s="11"/>
      <c r="K2" s="4"/>
    </row>
    <row r="3" spans="1:11" ht="20.100000000000001" customHeight="1" x14ac:dyDescent="0.25">
      <c r="A3" s="5" t="s">
        <v>0</v>
      </c>
      <c r="B3" s="6" t="s">
        <v>1</v>
      </c>
      <c r="C3" s="5" t="s">
        <v>2</v>
      </c>
      <c r="D3" s="17" t="s">
        <v>55</v>
      </c>
      <c r="E3" s="18" t="s">
        <v>73</v>
      </c>
      <c r="F3" s="17" t="s">
        <v>56</v>
      </c>
      <c r="G3" s="12" t="s">
        <v>74</v>
      </c>
      <c r="H3" s="5" t="s">
        <v>3</v>
      </c>
      <c r="K3" s="8"/>
    </row>
    <row r="4" spans="1:11" x14ac:dyDescent="0.25">
      <c r="A4" s="9"/>
      <c r="B4" s="9"/>
      <c r="C4" s="9" t="s">
        <v>5</v>
      </c>
      <c r="D4" s="13">
        <v>50000</v>
      </c>
      <c r="E4" s="10" t="s">
        <v>34</v>
      </c>
      <c r="F4" s="13">
        <v>75000</v>
      </c>
      <c r="G4" s="13">
        <v>757000</v>
      </c>
      <c r="H4" s="15">
        <v>2</v>
      </c>
    </row>
    <row r="5" spans="1:11" x14ac:dyDescent="0.25">
      <c r="A5" s="9"/>
      <c r="B5" s="9"/>
      <c r="C5" s="9" t="s">
        <v>6</v>
      </c>
      <c r="D5" s="13">
        <v>36000</v>
      </c>
      <c r="E5" s="10" t="s">
        <v>35</v>
      </c>
      <c r="F5" s="13">
        <v>55000</v>
      </c>
      <c r="G5" s="13">
        <v>517000</v>
      </c>
      <c r="H5" s="15">
        <v>3</v>
      </c>
    </row>
    <row r="6" spans="1:11" x14ac:dyDescent="0.25">
      <c r="A6" s="9"/>
      <c r="B6" s="9"/>
      <c r="C6" s="9" t="s">
        <v>7</v>
      </c>
      <c r="D6" s="13">
        <v>36000</v>
      </c>
      <c r="E6" s="10" t="s">
        <v>35</v>
      </c>
      <c r="F6" s="13">
        <v>65000</v>
      </c>
      <c r="G6" s="13">
        <v>598000</v>
      </c>
      <c r="H6" s="15">
        <v>3</v>
      </c>
    </row>
    <row r="7" spans="1:11" x14ac:dyDescent="0.25">
      <c r="A7" s="9"/>
      <c r="B7" s="9"/>
      <c r="C7" s="9" t="s">
        <v>8</v>
      </c>
      <c r="D7" s="13">
        <v>50000</v>
      </c>
      <c r="E7" s="10" t="s">
        <v>34</v>
      </c>
      <c r="F7" s="13">
        <v>75000</v>
      </c>
      <c r="G7" s="13">
        <v>630000</v>
      </c>
      <c r="H7" s="15">
        <v>2</v>
      </c>
    </row>
    <row r="8" spans="1:11" x14ac:dyDescent="0.25">
      <c r="A8" s="9"/>
      <c r="B8" s="9"/>
      <c r="C8" s="9" t="s">
        <v>9</v>
      </c>
      <c r="D8" s="13">
        <v>36000</v>
      </c>
      <c r="E8" s="10" t="s">
        <v>36</v>
      </c>
      <c r="F8" s="13">
        <v>65000</v>
      </c>
      <c r="G8" s="13">
        <v>559000</v>
      </c>
      <c r="H8" s="15">
        <v>4</v>
      </c>
    </row>
    <row r="9" spans="1:11" x14ac:dyDescent="0.25">
      <c r="A9" s="9"/>
      <c r="B9" s="9"/>
      <c r="C9" s="9" t="s">
        <v>10</v>
      </c>
      <c r="D9" s="13">
        <v>36000</v>
      </c>
      <c r="E9" s="10" t="s">
        <v>36</v>
      </c>
      <c r="F9" s="13">
        <v>65000</v>
      </c>
      <c r="G9" s="13">
        <v>572000</v>
      </c>
      <c r="H9" s="15">
        <v>4</v>
      </c>
    </row>
    <row r="10" spans="1:11" x14ac:dyDescent="0.25">
      <c r="A10" s="9"/>
      <c r="B10" s="9"/>
      <c r="C10" s="9" t="s">
        <v>11</v>
      </c>
      <c r="D10" s="13">
        <v>38000</v>
      </c>
      <c r="E10" s="10" t="s">
        <v>37</v>
      </c>
      <c r="F10" s="13">
        <v>75000</v>
      </c>
      <c r="G10" s="13">
        <v>500000</v>
      </c>
      <c r="H10" s="15">
        <v>4</v>
      </c>
    </row>
    <row r="11" spans="1:11" x14ac:dyDescent="0.25">
      <c r="A11" s="9"/>
      <c r="B11" s="9"/>
      <c r="C11" s="9" t="s">
        <v>12</v>
      </c>
      <c r="D11" s="13">
        <v>35000</v>
      </c>
      <c r="E11" s="10" t="s">
        <v>38</v>
      </c>
      <c r="F11" s="13">
        <v>75000</v>
      </c>
      <c r="G11" s="13">
        <v>495000</v>
      </c>
      <c r="H11" s="15">
        <v>3</v>
      </c>
    </row>
    <row r="12" spans="1:11" x14ac:dyDescent="0.25">
      <c r="A12" s="9"/>
      <c r="B12" s="9"/>
      <c r="C12" s="9" t="s">
        <v>13</v>
      </c>
      <c r="D12" s="13">
        <v>36000</v>
      </c>
      <c r="E12" s="10" t="s">
        <v>35</v>
      </c>
      <c r="F12" s="13">
        <v>65000</v>
      </c>
      <c r="G12" s="13">
        <v>429000</v>
      </c>
      <c r="H12" s="15">
        <v>4</v>
      </c>
    </row>
    <row r="13" spans="1:11" x14ac:dyDescent="0.25">
      <c r="A13" s="9"/>
      <c r="B13" s="9"/>
      <c r="C13" s="9" t="s">
        <v>14</v>
      </c>
      <c r="D13" s="13">
        <v>48000</v>
      </c>
      <c r="E13" s="10" t="s">
        <v>39</v>
      </c>
      <c r="F13" s="13">
        <v>75000</v>
      </c>
      <c r="G13" s="13">
        <v>480000</v>
      </c>
      <c r="H13" s="15">
        <v>5</v>
      </c>
    </row>
    <row r="14" spans="1:11" x14ac:dyDescent="0.25">
      <c r="A14" s="9"/>
      <c r="B14" s="9"/>
      <c r="C14" s="9" t="s">
        <v>15</v>
      </c>
      <c r="D14" s="13">
        <v>36000</v>
      </c>
      <c r="E14" s="10" t="s">
        <v>35</v>
      </c>
      <c r="F14" s="13">
        <v>60000</v>
      </c>
      <c r="G14" s="13">
        <v>300000</v>
      </c>
      <c r="H14" s="15">
        <v>5</v>
      </c>
    </row>
    <row r="15" spans="1:11" x14ac:dyDescent="0.25">
      <c r="A15" s="9"/>
      <c r="B15" s="9"/>
      <c r="C15" s="9" t="s">
        <v>16</v>
      </c>
      <c r="D15" s="13">
        <v>36000</v>
      </c>
      <c r="E15" s="10" t="s">
        <v>35</v>
      </c>
      <c r="F15" s="13">
        <v>65000</v>
      </c>
      <c r="G15" s="13">
        <v>325000</v>
      </c>
      <c r="H15" s="15">
        <v>5</v>
      </c>
    </row>
    <row r="16" spans="1:11" x14ac:dyDescent="0.25">
      <c r="A16" s="9"/>
      <c r="B16" s="9"/>
      <c r="C16" s="9" t="s">
        <v>40</v>
      </c>
      <c r="D16" s="13">
        <v>38000</v>
      </c>
      <c r="E16" s="10" t="s">
        <v>37</v>
      </c>
      <c r="F16" s="13">
        <v>65000</v>
      </c>
      <c r="G16" s="13">
        <v>221000</v>
      </c>
      <c r="H16" s="15">
        <v>5</v>
      </c>
    </row>
    <row r="17" spans="1:8" x14ac:dyDescent="0.25">
      <c r="A17" s="9"/>
      <c r="B17" s="9"/>
      <c r="C17" s="9" t="s">
        <v>17</v>
      </c>
      <c r="D17" s="13">
        <v>35000</v>
      </c>
      <c r="E17" s="10" t="s">
        <v>38</v>
      </c>
      <c r="F17" s="13">
        <v>55000</v>
      </c>
      <c r="G17" s="13">
        <v>200000</v>
      </c>
      <c r="H17" s="15">
        <v>5</v>
      </c>
    </row>
    <row r="18" spans="1:8" x14ac:dyDescent="0.25">
      <c r="A18" s="9"/>
      <c r="B18" s="9"/>
      <c r="C18" s="9" t="s">
        <v>18</v>
      </c>
      <c r="D18" s="13">
        <v>36000</v>
      </c>
      <c r="E18" s="10" t="s">
        <v>41</v>
      </c>
      <c r="F18" s="13">
        <v>50000</v>
      </c>
      <c r="G18" s="13">
        <v>195000</v>
      </c>
      <c r="H18" s="15">
        <v>7</v>
      </c>
    </row>
    <row r="19" spans="1:8" x14ac:dyDescent="0.25">
      <c r="A19" s="9"/>
      <c r="B19" s="9"/>
      <c r="C19" s="9" t="s">
        <v>19</v>
      </c>
      <c r="D19" s="13">
        <v>34500</v>
      </c>
      <c r="E19" s="10" t="s">
        <v>42</v>
      </c>
      <c r="F19" s="13">
        <v>55000</v>
      </c>
      <c r="G19" s="13">
        <v>198000</v>
      </c>
      <c r="H19" s="15">
        <v>3</v>
      </c>
    </row>
    <row r="20" spans="1:8" x14ac:dyDescent="0.25">
      <c r="A20" s="9"/>
      <c r="B20" s="9"/>
      <c r="C20" s="9" t="s">
        <v>20</v>
      </c>
      <c r="D20" s="13">
        <v>40000</v>
      </c>
      <c r="E20" s="10" t="s">
        <v>43</v>
      </c>
      <c r="F20" s="13">
        <v>65000</v>
      </c>
      <c r="G20" s="13">
        <v>273000</v>
      </c>
      <c r="H20" s="15">
        <v>3</v>
      </c>
    </row>
    <row r="21" spans="1:8" x14ac:dyDescent="0.25">
      <c r="A21" s="9"/>
      <c r="B21" s="9"/>
      <c r="C21" s="9" t="s">
        <v>44</v>
      </c>
      <c r="D21" s="13">
        <v>47600</v>
      </c>
      <c r="E21" s="10" t="s">
        <v>46</v>
      </c>
      <c r="F21" s="13">
        <v>75000</v>
      </c>
      <c r="G21" s="13">
        <v>285000</v>
      </c>
      <c r="H21" s="15">
        <v>2</v>
      </c>
    </row>
    <row r="22" spans="1:8" x14ac:dyDescent="0.25">
      <c r="A22" s="9"/>
      <c r="B22" s="9"/>
      <c r="C22" s="9" t="s">
        <v>45</v>
      </c>
      <c r="D22" s="13">
        <v>35000</v>
      </c>
      <c r="E22" s="10" t="s">
        <v>38</v>
      </c>
      <c r="F22" s="13">
        <v>50000</v>
      </c>
      <c r="G22" s="13">
        <v>225000</v>
      </c>
      <c r="H22" s="15">
        <v>1</v>
      </c>
    </row>
    <row r="23" spans="1:8" x14ac:dyDescent="0.25">
      <c r="A23" s="9"/>
      <c r="B23" s="9"/>
      <c r="C23" s="9" t="s">
        <v>21</v>
      </c>
      <c r="D23" s="13">
        <v>36000</v>
      </c>
      <c r="E23" s="10" t="s">
        <v>35</v>
      </c>
      <c r="F23" s="13">
        <v>65000</v>
      </c>
      <c r="G23" s="13">
        <v>169000</v>
      </c>
      <c r="H23" s="15">
        <v>3</v>
      </c>
    </row>
    <row r="24" spans="1:8" x14ac:dyDescent="0.25">
      <c r="A24" s="9"/>
      <c r="B24" s="9"/>
      <c r="C24" s="9" t="s">
        <v>22</v>
      </c>
      <c r="D24" s="13">
        <v>36000</v>
      </c>
      <c r="E24" s="10" t="s">
        <v>41</v>
      </c>
      <c r="F24" s="13">
        <v>60000</v>
      </c>
      <c r="G24" s="13">
        <v>160000</v>
      </c>
      <c r="H24" s="15">
        <v>5</v>
      </c>
    </row>
    <row r="25" spans="1:8" x14ac:dyDescent="0.25">
      <c r="A25" s="9"/>
      <c r="B25" s="9"/>
      <c r="C25" s="9" t="s">
        <v>23</v>
      </c>
      <c r="D25" s="13">
        <v>42400</v>
      </c>
      <c r="E25" s="10" t="s">
        <v>47</v>
      </c>
      <c r="F25" s="13">
        <v>55000</v>
      </c>
      <c r="G25" s="13">
        <v>150000</v>
      </c>
      <c r="H25" s="15">
        <v>6</v>
      </c>
    </row>
    <row r="26" spans="1:8" x14ac:dyDescent="0.25">
      <c r="A26" s="9"/>
      <c r="B26" s="9"/>
      <c r="C26" s="9" t="s">
        <v>24</v>
      </c>
      <c r="D26" s="13">
        <v>49600</v>
      </c>
      <c r="E26" s="10" t="s">
        <v>51</v>
      </c>
      <c r="F26" s="13">
        <v>75000</v>
      </c>
      <c r="G26" s="13">
        <v>225000</v>
      </c>
      <c r="H26" s="15">
        <v>6</v>
      </c>
    </row>
    <row r="27" spans="1:8" x14ac:dyDescent="0.25">
      <c r="A27" s="9"/>
      <c r="B27" s="9"/>
      <c r="C27" s="9" t="s">
        <v>25</v>
      </c>
      <c r="D27" s="13">
        <v>48200</v>
      </c>
      <c r="E27" s="10" t="s">
        <v>48</v>
      </c>
      <c r="F27" s="13">
        <v>75000</v>
      </c>
      <c r="G27" s="13">
        <v>195000</v>
      </c>
      <c r="H27" s="15">
        <v>3</v>
      </c>
    </row>
    <row r="28" spans="1:8" x14ac:dyDescent="0.25">
      <c r="A28" s="9"/>
      <c r="B28" s="9"/>
      <c r="C28" s="9" t="s">
        <v>26</v>
      </c>
      <c r="D28" s="13">
        <v>37000</v>
      </c>
      <c r="E28" s="10" t="s">
        <v>49</v>
      </c>
      <c r="F28" s="13">
        <v>55000</v>
      </c>
      <c r="G28" s="13">
        <v>176000</v>
      </c>
      <c r="H28" s="15">
        <v>6</v>
      </c>
    </row>
    <row r="29" spans="1:8" x14ac:dyDescent="0.25">
      <c r="A29" s="9"/>
      <c r="B29" s="9"/>
      <c r="C29" s="9" t="s">
        <v>27</v>
      </c>
      <c r="D29" s="13">
        <v>48200</v>
      </c>
      <c r="E29" s="10" t="s">
        <v>50</v>
      </c>
      <c r="F29" s="13">
        <v>75000</v>
      </c>
      <c r="G29" s="13">
        <v>195000</v>
      </c>
      <c r="H29" s="15">
        <v>3</v>
      </c>
    </row>
    <row r="30" spans="1:8" x14ac:dyDescent="0.25">
      <c r="A30" s="9"/>
      <c r="B30" s="9"/>
      <c r="C30" s="9" t="s">
        <v>28</v>
      </c>
      <c r="D30" s="13">
        <v>48200</v>
      </c>
      <c r="E30" s="10" t="s">
        <v>50</v>
      </c>
      <c r="F30" s="13">
        <v>75000</v>
      </c>
      <c r="G30" s="13">
        <v>120000</v>
      </c>
      <c r="H30" s="15">
        <v>9</v>
      </c>
    </row>
    <row r="31" spans="1:8" x14ac:dyDescent="0.25">
      <c r="A31" s="9"/>
      <c r="B31" s="9"/>
      <c r="C31" s="9" t="s">
        <v>29</v>
      </c>
      <c r="D31" s="13">
        <v>37000</v>
      </c>
      <c r="E31" s="10" t="s">
        <v>52</v>
      </c>
      <c r="F31" s="13">
        <v>55000</v>
      </c>
      <c r="G31" s="13">
        <v>88000</v>
      </c>
      <c r="H31" s="15">
        <v>2</v>
      </c>
    </row>
    <row r="32" spans="1:8" x14ac:dyDescent="0.25">
      <c r="A32" s="9"/>
      <c r="B32" s="9"/>
      <c r="C32" s="9" t="s">
        <v>30</v>
      </c>
      <c r="D32" s="13">
        <v>38500</v>
      </c>
      <c r="E32" s="10" t="s">
        <v>53</v>
      </c>
      <c r="F32" s="13">
        <v>65000</v>
      </c>
      <c r="G32" s="13">
        <v>65000</v>
      </c>
      <c r="H32" s="15">
        <v>10</v>
      </c>
    </row>
    <row r="33" spans="1:8" x14ac:dyDescent="0.25">
      <c r="A33" s="9"/>
      <c r="B33" s="9"/>
      <c r="C33" s="9" t="s">
        <v>31</v>
      </c>
      <c r="D33" s="13">
        <v>38000</v>
      </c>
      <c r="E33" s="10" t="s">
        <v>37</v>
      </c>
      <c r="F33" s="13">
        <v>65000</v>
      </c>
      <c r="G33" s="13">
        <v>39000</v>
      </c>
      <c r="H33" s="15">
        <v>3</v>
      </c>
    </row>
    <row r="34" spans="1:8" x14ac:dyDescent="0.25">
      <c r="A34" s="9"/>
      <c r="B34" s="9"/>
      <c r="C34" s="9" t="s">
        <v>32</v>
      </c>
      <c r="D34" s="13">
        <v>50000</v>
      </c>
      <c r="E34" s="10" t="s">
        <v>34</v>
      </c>
      <c r="F34" s="13">
        <v>75000</v>
      </c>
      <c r="G34" s="13">
        <v>75000</v>
      </c>
      <c r="H34" s="15">
        <v>2</v>
      </c>
    </row>
    <row r="35" spans="1:8" x14ac:dyDescent="0.25">
      <c r="A35" s="9"/>
      <c r="B35" s="9"/>
      <c r="C35" s="9" t="s">
        <v>33</v>
      </c>
      <c r="D35" s="13">
        <v>15000</v>
      </c>
      <c r="E35" s="10" t="s">
        <v>54</v>
      </c>
      <c r="F35" s="13"/>
      <c r="G35" s="13">
        <v>35000</v>
      </c>
      <c r="H35" s="15">
        <v>1</v>
      </c>
    </row>
    <row r="36" spans="1:8" x14ac:dyDescent="0.25">
      <c r="A36" s="9"/>
      <c r="B36" s="9"/>
      <c r="C36" s="9"/>
      <c r="D36" s="13"/>
      <c r="E36" s="10"/>
      <c r="F36" s="13"/>
      <c r="G36" s="13"/>
      <c r="H36" s="15"/>
    </row>
    <row r="37" spans="1:8" x14ac:dyDescent="0.25">
      <c r="A37" s="9"/>
      <c r="B37" s="9"/>
      <c r="C37" s="9"/>
      <c r="D37" s="13"/>
      <c r="E37" s="10"/>
      <c r="F37" s="13"/>
      <c r="G37" s="13"/>
      <c r="H37" s="15"/>
    </row>
  </sheetData>
  <phoneticPr fontId="4" type="noConversion"/>
  <conditionalFormatting sqref="A3">
    <cfRule type="duplicateValues" dxfId="18" priority="5"/>
    <cfRule type="duplicateValues" dxfId="17" priority="8"/>
  </conditionalFormatting>
  <conditionalFormatting sqref="A1:B3">
    <cfRule type="duplicateValues" dxfId="16" priority="3"/>
  </conditionalFormatting>
  <conditionalFormatting sqref="B2:B3">
    <cfRule type="duplicateValues" dxfId="15" priority="4"/>
  </conditionalFormatting>
  <conditionalFormatting sqref="B3">
    <cfRule type="duplicateValues" dxfId="14" priority="6"/>
    <cfRule type="duplicateValues" dxfId="13" priority="7"/>
  </conditionalFormatting>
  <conditionalFormatting sqref="A1:A1048576">
    <cfRule type="duplicateValues" dxfId="12" priority="2"/>
  </conditionalFormatting>
  <conditionalFormatting sqref="B1:B1048576">
    <cfRule type="duplicateValues" dxfId="11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F68D-18F6-40ED-85C9-694D9B0E0BDD}">
  <dimension ref="A1:K28"/>
  <sheetViews>
    <sheetView workbookViewId="0">
      <selection activeCell="I24" sqref="I24"/>
    </sheetView>
  </sheetViews>
  <sheetFormatPr defaultRowHeight="15" x14ac:dyDescent="0.25"/>
  <cols>
    <col min="1" max="1" width="9.42578125" bestFit="1" customWidth="1"/>
    <col min="2" max="2" width="15.5703125" customWidth="1"/>
    <col min="3" max="3" width="32.140625" customWidth="1"/>
    <col min="4" max="4" width="17.140625" customWidth="1"/>
    <col min="5" max="5" width="14.42578125" customWidth="1"/>
    <col min="6" max="6" width="16.5703125" style="14" customWidth="1"/>
    <col min="7" max="7" width="7.42578125" style="16" customWidth="1"/>
    <col min="8" max="8" width="14.5703125" style="14" customWidth="1"/>
    <col min="12" max="12" width="23.7109375" customWidth="1"/>
  </cols>
  <sheetData>
    <row r="1" spans="1:11" x14ac:dyDescent="0.25">
      <c r="B1" s="1"/>
      <c r="C1" s="2" t="s">
        <v>110</v>
      </c>
      <c r="D1" s="2"/>
      <c r="E1" s="3"/>
      <c r="F1" s="11"/>
      <c r="J1" s="19"/>
      <c r="K1" t="s">
        <v>135</v>
      </c>
    </row>
    <row r="2" spans="1:11" x14ac:dyDescent="0.25">
      <c r="B2" s="1"/>
      <c r="E2" s="3"/>
      <c r="F2" s="11"/>
      <c r="J2" s="4"/>
    </row>
    <row r="3" spans="1:11" ht="20.100000000000001" customHeight="1" x14ac:dyDescent="0.25">
      <c r="A3" s="5" t="s">
        <v>0</v>
      </c>
      <c r="B3" s="6" t="s">
        <v>1</v>
      </c>
      <c r="C3" s="5" t="s">
        <v>2</v>
      </c>
      <c r="D3" s="12" t="s">
        <v>72</v>
      </c>
      <c r="E3" s="7" t="s">
        <v>83</v>
      </c>
      <c r="F3" s="12" t="s">
        <v>71</v>
      </c>
      <c r="G3" s="5" t="s">
        <v>111</v>
      </c>
      <c r="J3" s="8"/>
    </row>
    <row r="4" spans="1:11" x14ac:dyDescent="0.25">
      <c r="A4" s="9" t="s">
        <v>70</v>
      </c>
      <c r="B4" s="9">
        <v>125975</v>
      </c>
      <c r="C4" s="9" t="s">
        <v>112</v>
      </c>
      <c r="D4" s="13">
        <v>11000</v>
      </c>
      <c r="E4" s="10" t="s">
        <v>126</v>
      </c>
      <c r="F4" s="13">
        <v>25000</v>
      </c>
      <c r="G4" s="15">
        <v>3</v>
      </c>
      <c r="H4" s="14">
        <f t="shared" ref="H4:H18" si="0">F4-D4</f>
        <v>14000</v>
      </c>
    </row>
    <row r="5" spans="1:11" x14ac:dyDescent="0.25">
      <c r="A5" s="9" t="s">
        <v>69</v>
      </c>
      <c r="B5" s="9">
        <v>125976</v>
      </c>
      <c r="C5" s="9" t="s">
        <v>113</v>
      </c>
      <c r="D5" s="13">
        <v>18000</v>
      </c>
      <c r="E5" s="10" t="s">
        <v>127</v>
      </c>
      <c r="F5" s="13">
        <v>35000</v>
      </c>
      <c r="G5" s="15">
        <v>4</v>
      </c>
      <c r="H5" s="14">
        <f t="shared" si="0"/>
        <v>17000</v>
      </c>
    </row>
    <row r="6" spans="1:11" x14ac:dyDescent="0.25">
      <c r="A6" s="9" t="s">
        <v>68</v>
      </c>
      <c r="B6" s="9">
        <v>125977</v>
      </c>
      <c r="C6" s="9" t="s">
        <v>114</v>
      </c>
      <c r="D6" s="13">
        <v>26500</v>
      </c>
      <c r="E6" s="10" t="s">
        <v>128</v>
      </c>
      <c r="F6" s="13">
        <v>50000</v>
      </c>
      <c r="G6" s="15">
        <v>2</v>
      </c>
      <c r="H6" s="14">
        <f t="shared" si="0"/>
        <v>23500</v>
      </c>
    </row>
    <row r="7" spans="1:11" x14ac:dyDescent="0.25">
      <c r="A7" s="9" t="s">
        <v>67</v>
      </c>
      <c r="B7" s="9">
        <v>125978</v>
      </c>
      <c r="C7" s="9" t="s">
        <v>115</v>
      </c>
      <c r="D7" s="13">
        <v>26000</v>
      </c>
      <c r="E7" s="10" t="s">
        <v>36</v>
      </c>
      <c r="F7" s="13">
        <v>60000</v>
      </c>
      <c r="G7" s="15">
        <v>2</v>
      </c>
      <c r="H7" s="14">
        <f t="shared" si="0"/>
        <v>34000</v>
      </c>
    </row>
    <row r="8" spans="1:11" x14ac:dyDescent="0.25">
      <c r="A8" s="9" t="s">
        <v>66</v>
      </c>
      <c r="B8" s="9">
        <v>125979</v>
      </c>
      <c r="C8" s="9" t="s">
        <v>116</v>
      </c>
      <c r="D8" s="13">
        <v>26000</v>
      </c>
      <c r="E8" s="10" t="s">
        <v>36</v>
      </c>
      <c r="F8" s="13">
        <v>60000</v>
      </c>
      <c r="G8" s="15">
        <v>4</v>
      </c>
      <c r="H8" s="14">
        <f t="shared" si="0"/>
        <v>34000</v>
      </c>
    </row>
    <row r="9" spans="1:11" x14ac:dyDescent="0.25">
      <c r="A9" s="9" t="s">
        <v>65</v>
      </c>
      <c r="B9" s="9">
        <v>125980</v>
      </c>
      <c r="C9" s="9" t="s">
        <v>117</v>
      </c>
      <c r="D9" s="13">
        <v>26000</v>
      </c>
      <c r="E9" s="10" t="s">
        <v>36</v>
      </c>
      <c r="F9" s="13">
        <v>60000</v>
      </c>
      <c r="G9" s="15">
        <v>3</v>
      </c>
      <c r="H9" s="14">
        <f t="shared" si="0"/>
        <v>34000</v>
      </c>
    </row>
    <row r="10" spans="1:11" x14ac:dyDescent="0.25">
      <c r="A10" s="9" t="s">
        <v>64</v>
      </c>
      <c r="B10" s="9">
        <v>125981</v>
      </c>
      <c r="C10" s="9" t="s">
        <v>118</v>
      </c>
      <c r="D10" s="13">
        <v>50000</v>
      </c>
      <c r="E10" s="10" t="s">
        <v>34</v>
      </c>
      <c r="F10" s="13">
        <v>80000</v>
      </c>
      <c r="G10" s="15">
        <v>4</v>
      </c>
      <c r="H10" s="14">
        <f t="shared" si="0"/>
        <v>30000</v>
      </c>
    </row>
    <row r="11" spans="1:11" x14ac:dyDescent="0.25">
      <c r="A11" s="9" t="s">
        <v>63</v>
      </c>
      <c r="B11" s="9">
        <v>125982</v>
      </c>
      <c r="C11" s="9" t="s">
        <v>119</v>
      </c>
      <c r="D11" s="13">
        <v>50000</v>
      </c>
      <c r="E11" s="10" t="s">
        <v>34</v>
      </c>
      <c r="F11" s="13">
        <v>80000</v>
      </c>
      <c r="G11" s="15">
        <v>4</v>
      </c>
      <c r="H11" s="14">
        <f t="shared" si="0"/>
        <v>30000</v>
      </c>
    </row>
    <row r="12" spans="1:11" x14ac:dyDescent="0.25">
      <c r="A12" s="9" t="s">
        <v>62</v>
      </c>
      <c r="B12" s="9">
        <v>125983</v>
      </c>
      <c r="C12" s="9" t="s">
        <v>120</v>
      </c>
      <c r="D12" s="13">
        <v>62500</v>
      </c>
      <c r="E12" s="10" t="s">
        <v>129</v>
      </c>
      <c r="F12" s="13">
        <v>95000</v>
      </c>
      <c r="G12" s="15">
        <v>3</v>
      </c>
      <c r="H12" s="14">
        <f t="shared" si="0"/>
        <v>32500</v>
      </c>
    </row>
    <row r="13" spans="1:11" x14ac:dyDescent="0.25">
      <c r="A13" s="9" t="s">
        <v>61</v>
      </c>
      <c r="B13" s="9">
        <v>125984</v>
      </c>
      <c r="C13" s="9" t="s">
        <v>121</v>
      </c>
      <c r="D13" s="13">
        <v>65300</v>
      </c>
      <c r="E13" s="10" t="s">
        <v>130</v>
      </c>
      <c r="F13" s="13">
        <v>100000</v>
      </c>
      <c r="G13" s="15">
        <v>2</v>
      </c>
      <c r="H13" s="14">
        <f t="shared" si="0"/>
        <v>34700</v>
      </c>
    </row>
    <row r="14" spans="1:11" x14ac:dyDescent="0.25">
      <c r="A14" s="9" t="s">
        <v>60</v>
      </c>
      <c r="B14" s="9">
        <v>125985</v>
      </c>
      <c r="C14" s="9" t="s">
        <v>122</v>
      </c>
      <c r="D14" s="13">
        <v>78000</v>
      </c>
      <c r="E14" s="10" t="s">
        <v>131</v>
      </c>
      <c r="F14" s="13">
        <v>110000</v>
      </c>
      <c r="G14" s="15">
        <v>5</v>
      </c>
      <c r="H14" s="14">
        <f t="shared" si="0"/>
        <v>32000</v>
      </c>
    </row>
    <row r="15" spans="1:11" x14ac:dyDescent="0.25">
      <c r="A15" s="9" t="s">
        <v>59</v>
      </c>
      <c r="B15" s="9">
        <v>125986</v>
      </c>
      <c r="C15" s="9" t="s">
        <v>123</v>
      </c>
      <c r="D15" s="13">
        <v>80000</v>
      </c>
      <c r="E15" s="10" t="s">
        <v>132</v>
      </c>
      <c r="F15" s="13">
        <v>125000</v>
      </c>
      <c r="G15" s="15">
        <v>3</v>
      </c>
      <c r="H15" s="14">
        <f t="shared" si="0"/>
        <v>45000</v>
      </c>
    </row>
    <row r="16" spans="1:11" x14ac:dyDescent="0.25">
      <c r="A16" s="9" t="s">
        <v>58</v>
      </c>
      <c r="B16" s="9">
        <v>125987</v>
      </c>
      <c r="C16" s="9" t="s">
        <v>124</v>
      </c>
      <c r="D16" s="13">
        <v>95000</v>
      </c>
      <c r="E16" s="10" t="s">
        <v>133</v>
      </c>
      <c r="F16" s="13">
        <v>145000</v>
      </c>
      <c r="G16" s="15">
        <v>5</v>
      </c>
      <c r="H16" s="14">
        <f t="shared" si="0"/>
        <v>50000</v>
      </c>
    </row>
    <row r="17" spans="1:8" x14ac:dyDescent="0.25">
      <c r="A17" s="9" t="s">
        <v>57</v>
      </c>
      <c r="B17" s="9">
        <v>125988</v>
      </c>
      <c r="C17" s="9" t="s">
        <v>125</v>
      </c>
      <c r="D17" s="13">
        <v>93500</v>
      </c>
      <c r="E17" s="10" t="s">
        <v>134</v>
      </c>
      <c r="F17" s="13">
        <v>135000</v>
      </c>
      <c r="G17" s="15">
        <v>3</v>
      </c>
      <c r="H17" s="14">
        <f t="shared" si="0"/>
        <v>41500</v>
      </c>
    </row>
    <row r="18" spans="1:8" x14ac:dyDescent="0.25">
      <c r="A18" s="9" t="s">
        <v>139</v>
      </c>
      <c r="B18" s="9">
        <v>125989</v>
      </c>
      <c r="C18" s="20" t="s">
        <v>138</v>
      </c>
      <c r="D18" s="13">
        <v>50000</v>
      </c>
      <c r="E18" s="10" t="s">
        <v>34</v>
      </c>
      <c r="F18" s="13">
        <v>80000</v>
      </c>
      <c r="G18" s="15">
        <v>1</v>
      </c>
      <c r="H18" s="14">
        <f t="shared" si="0"/>
        <v>30000</v>
      </c>
    </row>
    <row r="19" spans="1:8" x14ac:dyDescent="0.25">
      <c r="A19" s="9"/>
      <c r="B19" s="9"/>
      <c r="C19" s="9"/>
      <c r="D19" s="13"/>
      <c r="E19" s="10"/>
      <c r="F19" s="13"/>
      <c r="G19" s="15"/>
    </row>
    <row r="20" spans="1:8" x14ac:dyDescent="0.25">
      <c r="A20" s="9"/>
      <c r="B20" s="9"/>
      <c r="C20" s="9"/>
      <c r="D20" s="13"/>
      <c r="E20" s="10"/>
      <c r="F20" s="13"/>
      <c r="G20" s="15"/>
    </row>
    <row r="21" spans="1:8" x14ac:dyDescent="0.25">
      <c r="A21" s="9"/>
      <c r="B21" s="9"/>
      <c r="C21" s="9"/>
      <c r="D21" s="13"/>
      <c r="E21" s="10"/>
      <c r="F21" s="13"/>
      <c r="G21" s="15"/>
    </row>
    <row r="22" spans="1:8" x14ac:dyDescent="0.25">
      <c r="A22" s="9"/>
      <c r="B22" s="9"/>
      <c r="C22" s="9"/>
      <c r="D22" s="13"/>
      <c r="E22" s="10"/>
      <c r="F22" s="13"/>
      <c r="G22" s="15"/>
    </row>
    <row r="23" spans="1:8" x14ac:dyDescent="0.25">
      <c r="A23" s="9"/>
      <c r="B23" s="9"/>
      <c r="C23" s="9"/>
      <c r="D23" s="13"/>
      <c r="E23" s="10"/>
      <c r="F23" s="13"/>
      <c r="G23" s="15"/>
    </row>
    <row r="24" spans="1:8" x14ac:dyDescent="0.25">
      <c r="A24" s="9"/>
      <c r="B24" s="9"/>
      <c r="C24" s="9"/>
      <c r="D24" s="13"/>
      <c r="E24" s="10"/>
      <c r="F24" s="13"/>
      <c r="G24" s="15"/>
    </row>
    <row r="25" spans="1:8" x14ac:dyDescent="0.25">
      <c r="A25" s="9"/>
      <c r="B25" s="9"/>
      <c r="C25" s="9"/>
      <c r="D25" s="13"/>
      <c r="E25" s="10"/>
      <c r="F25" s="13"/>
      <c r="G25" s="15"/>
    </row>
    <row r="26" spans="1:8" x14ac:dyDescent="0.25">
      <c r="A26" s="9"/>
      <c r="B26" s="9"/>
      <c r="C26" s="9"/>
      <c r="D26" s="13"/>
      <c r="E26" s="10"/>
      <c r="F26" s="13"/>
      <c r="G26" s="15"/>
    </row>
    <row r="27" spans="1:8" x14ac:dyDescent="0.25">
      <c r="A27" s="9"/>
      <c r="B27" s="9"/>
      <c r="C27" s="9"/>
      <c r="D27" s="13"/>
      <c r="E27" s="10"/>
      <c r="F27" s="13"/>
      <c r="G27" s="15"/>
    </row>
    <row r="28" spans="1:8" x14ac:dyDescent="0.25">
      <c r="A28" s="9"/>
      <c r="B28" s="9"/>
      <c r="C28" s="9"/>
      <c r="D28" s="13"/>
      <c r="E28" s="10"/>
      <c r="F28" s="13"/>
      <c r="G28" s="15"/>
    </row>
  </sheetData>
  <phoneticPr fontId="4" type="noConversion"/>
  <conditionalFormatting sqref="A3">
    <cfRule type="duplicateValues" dxfId="10" priority="6"/>
    <cfRule type="duplicateValues" dxfId="9" priority="9"/>
  </conditionalFormatting>
  <conditionalFormatting sqref="A1:B3">
    <cfRule type="duplicateValues" dxfId="8" priority="4"/>
  </conditionalFormatting>
  <conditionalFormatting sqref="B2:B3">
    <cfRule type="duplicateValues" dxfId="7" priority="5"/>
  </conditionalFormatting>
  <conditionalFormatting sqref="B3">
    <cfRule type="duplicateValues" dxfId="6" priority="7"/>
    <cfRule type="duplicateValues" dxfId="5" priority="8"/>
  </conditionalFormatting>
  <conditionalFormatting sqref="A1:A1048576">
    <cfRule type="duplicateValues" dxfId="4" priority="3"/>
  </conditionalFormatting>
  <conditionalFormatting sqref="B1:B1048576">
    <cfRule type="duplicateValues" dxfId="3" priority="1"/>
    <cfRule type="duplicateValues" dxfId="2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Puso</vt:lpstr>
      <vt:lpstr>NPH</vt:lpstr>
      <vt:lpstr>Qrope</vt:lpstr>
      <vt:lpstr>Campur</vt:lpstr>
      <vt:lpstr>Sheet1</vt:lpstr>
      <vt:lpstr>30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2026-05-24T09:02:03Z</dcterms:modified>
</cp:coreProperties>
</file>