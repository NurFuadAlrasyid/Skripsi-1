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DB267529-22C4-4FD5-842E-3EC5AEF06D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ayu" sheetId="1" r:id="rId1"/>
    <sheet name="Pruning" sheetId="2" r:id="rId2"/>
    <sheet name="Set" sheetId="3" r:id="rId3"/>
    <sheet name="Besi" sheetId="4" r:id="rId4"/>
    <sheet name="B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sk5YexvMqFoMwey8Z7/RRgI9J5KHJe1O0JpjfL0Svgs="/>
    </ext>
  </extLst>
</workbook>
</file>

<file path=xl/calcChain.xml><?xml version="1.0" encoding="utf-8"?>
<calcChain xmlns="http://schemas.openxmlformats.org/spreadsheetml/2006/main">
  <c r="H32" i="1" l="1"/>
  <c r="H31" i="1"/>
  <c r="H3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4" i="1"/>
  <c r="H5" i="2"/>
  <c r="H6" i="2"/>
  <c r="H7" i="2"/>
  <c r="H8" i="2"/>
  <c r="H9" i="2"/>
  <c r="H10" i="2"/>
  <c r="H11" i="2"/>
  <c r="H4" i="2"/>
  <c r="H5" i="3"/>
  <c r="H6" i="3"/>
  <c r="H7" i="3"/>
  <c r="H8" i="3"/>
  <c r="H9" i="3"/>
  <c r="H4" i="3"/>
  <c r="H5" i="4"/>
  <c r="H6" i="4"/>
  <c r="H7" i="4"/>
  <c r="H4" i="4"/>
  <c r="H5" i="5"/>
  <c r="H6" i="5"/>
  <c r="H7" i="5"/>
  <c r="H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/36Td6ndYp1vme2KDTBc7e9ihO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ID#AAABseQQBaM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1Jq6ZjyY4zp47djfDTFd8Mn1GL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ID#AAABseQQBaY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5FGUChaqTzyYGpzIqNGORRoYyV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ID#AAABseQQBaU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3YWYPEQi5mKSr9Doix8O7UI4jD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ID#AAABseQQBaQ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3r1RX7MKyRl6+1DzP52UhUUu9Bw=="/>
    </ext>
  </extLst>
</comments>
</file>

<file path=xl/sharedStrings.xml><?xml version="1.0" encoding="utf-8"?>
<sst xmlns="http://schemas.openxmlformats.org/spreadsheetml/2006/main" count="203" uniqueCount="172">
  <si>
    <t>GERGAJI KAYU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</si>
  <si>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</si>
  <si>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</si>
  <si>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</si>
  <si>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</si>
  <si>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</si>
  <si>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</si>
  <si>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</si>
  <si>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GER04</t>
  </si>
  <si>
    <t>Gergaji Kayu Vinctory 20"</t>
  </si>
  <si>
    <t>VT-SSB</t>
  </si>
  <si>
    <t>GER05</t>
  </si>
  <si>
    <t>Gergaji Kayu Benison Work 20"</t>
  </si>
  <si>
    <t>TSWU-SSB</t>
  </si>
  <si>
    <t>GER06</t>
  </si>
  <si>
    <t>Gergaji Kayu Norgen Gagang Kayu 20"</t>
  </si>
  <si>
    <t>UWRU-JT</t>
  </si>
  <si>
    <t>GER07</t>
  </si>
  <si>
    <t>Gergaji Kayu Norgen Gagang Plastik 20"</t>
  </si>
  <si>
    <t>GER08</t>
  </si>
  <si>
    <t>Gergaji Kayu Universal Germani Gagang Kayu 20"</t>
  </si>
  <si>
    <t>UZ-JT</t>
  </si>
  <si>
    <t>GER09</t>
  </si>
  <si>
    <t>VZ-JT</t>
  </si>
  <si>
    <t>GER10</t>
  </si>
  <si>
    <t>Gergaji Kayu Muller 20"</t>
  </si>
  <si>
    <t>WZ-JIT</t>
  </si>
  <si>
    <t>GER11</t>
  </si>
  <si>
    <t>Gergaji Kayu Tjap Mata 20"</t>
  </si>
  <si>
    <t>XZ-TW</t>
  </si>
  <si>
    <t>GER12</t>
  </si>
  <si>
    <t>Gergaji Kayu D-Xplore Gagang Plastik 20"</t>
  </si>
  <si>
    <t>VRU-SBA</t>
  </si>
  <si>
    <t>GER13</t>
  </si>
  <si>
    <t>Gergaji Kayu Tekiro Gagang Kayu 20"</t>
  </si>
  <si>
    <t>WZU-DL</t>
  </si>
  <si>
    <t>GER14</t>
  </si>
  <si>
    <t>Gergaji Kayu Tekiro Gagang Plastik 20"</t>
  </si>
  <si>
    <t>WZV-DL</t>
  </si>
  <si>
    <t>GER15</t>
  </si>
  <si>
    <t>Gergaji Kayu Bestguard E63 18"</t>
  </si>
  <si>
    <t>STU-CT/SW</t>
  </si>
  <si>
    <t>GER16</t>
  </si>
  <si>
    <t>Gergaji Kayu Tosita 18"</t>
  </si>
  <si>
    <t>SWU-JLT</t>
  </si>
  <si>
    <t>GER17</t>
  </si>
  <si>
    <t>Gergaji Kayu Kingstone 18"</t>
  </si>
  <si>
    <t>UZ-TW</t>
  </si>
  <si>
    <t>GER18</t>
  </si>
  <si>
    <t>Gergaji Kayu Benison Work 18"</t>
  </si>
  <si>
    <t>GER19</t>
  </si>
  <si>
    <t>Gergaji Kayu Universal Germani Gagang Plastik 18"</t>
  </si>
  <si>
    <t>UW-JT</t>
  </si>
  <si>
    <t>GER20</t>
  </si>
  <si>
    <t>Gergaji Kayu Tool Germany 18"</t>
  </si>
  <si>
    <t>GER21</t>
  </si>
  <si>
    <t>Gergaji Kayu Universal Germani Gagang Kayu 18"</t>
  </si>
  <si>
    <t>UYU-JT</t>
  </si>
  <si>
    <t>GER22</t>
  </si>
  <si>
    <t>Gergaji Kayu Norgen With Tefion Coated Gagang Kayu 18"</t>
  </si>
  <si>
    <t>UWU-JT</t>
  </si>
  <si>
    <t>GER23</t>
  </si>
  <si>
    <t>Gergaji Kayu Norgen With Blue Coated Gagang Kayu 18"</t>
  </si>
  <si>
    <t>UY-JT</t>
  </si>
  <si>
    <t>GER24</t>
  </si>
  <si>
    <t>Gergaji Kayu D-Xplore 18"</t>
  </si>
  <si>
    <t>VT-SBA</t>
  </si>
  <si>
    <t>GER25</t>
  </si>
  <si>
    <t>Gergaji Kayu Muller 18"</t>
  </si>
  <si>
    <t>URU-JLT</t>
  </si>
  <si>
    <t>GER26</t>
  </si>
  <si>
    <t>K011412</t>
  </si>
  <si>
    <t>Gergaji Kayu Kentaro 18"</t>
  </si>
  <si>
    <t>XWU-TW</t>
  </si>
  <si>
    <t>GER27</t>
  </si>
  <si>
    <t>Gergaji Kayu Tokio 14"</t>
  </si>
  <si>
    <t>SZ-TW</t>
  </si>
  <si>
    <t>GER28</t>
  </si>
  <si>
    <t>GER29</t>
  </si>
  <si>
    <t>Gergaji Kayu Miami 16"</t>
  </si>
  <si>
    <t>QY-SMK</t>
  </si>
  <si>
    <t>GERGAJI PRUNING</t>
  </si>
  <si>
    <t>GERP04</t>
  </si>
  <si>
    <t>Gegaji Pruning Norger Gagang Plastik 12"</t>
  </si>
  <si>
    <t>TZ-JT</t>
  </si>
  <si>
    <t>GERP05</t>
  </si>
  <si>
    <t>Gegaji Pruning Bestguard E1521 12"</t>
  </si>
  <si>
    <t>RUV-CT/SW</t>
  </si>
  <si>
    <t>GERP06</t>
  </si>
  <si>
    <t>Gegaji Pruning Bestguard E152 16"</t>
  </si>
  <si>
    <t>RVU-CT/SW</t>
  </si>
  <si>
    <t>GERP07</t>
  </si>
  <si>
    <t>Gegaji Pruning Armada 12"</t>
  </si>
  <si>
    <t>SWU-TW</t>
  </si>
  <si>
    <t>GERP08</t>
  </si>
  <si>
    <t>Gegaji Pruning D-Xplore 12"</t>
  </si>
  <si>
    <t>SU-SBA</t>
  </si>
  <si>
    <t>GERP09</t>
  </si>
  <si>
    <t>Gegaji Pruning Koala 14"</t>
  </si>
  <si>
    <t>QS-DL</t>
  </si>
  <si>
    <t>GERP10</t>
  </si>
  <si>
    <t>Gegaji Pruning Schilieper 15"</t>
  </si>
  <si>
    <t>SWU-SMK</t>
  </si>
  <si>
    <t>GERP11</t>
  </si>
  <si>
    <t>Gegaji Pruning Onat Lipat</t>
  </si>
  <si>
    <t>SU-SMK</t>
  </si>
  <si>
    <t>GERGAJI SET</t>
  </si>
  <si>
    <t>Gergaji Set Haston 5 in 1</t>
  </si>
  <si>
    <t>WQRU-COM</t>
  </si>
  <si>
    <t>Gergaji Set Viver 4 in 1 12"</t>
  </si>
  <si>
    <t>VU-JLT</t>
  </si>
  <si>
    <t>Gergaji Set Miami 3 in 1</t>
  </si>
  <si>
    <t>UZ-STB</t>
  </si>
  <si>
    <t>Gergaji Set Jason 3 in 1</t>
  </si>
  <si>
    <t>TR-SMK</t>
  </si>
  <si>
    <t>GERGAJI BESI</t>
  </si>
  <si>
    <t>GERB54</t>
  </si>
  <si>
    <t>Gergaji Besi F</t>
  </si>
  <si>
    <t>QRW</t>
  </si>
  <si>
    <t>GERB55</t>
  </si>
  <si>
    <t>Gergaji Besi Tekiro GT-HS 1623</t>
  </si>
  <si>
    <t>YW-TW</t>
  </si>
  <si>
    <t>GERB56</t>
  </si>
  <si>
    <t>Gergaji Besi Tjap Mata 300mm</t>
  </si>
  <si>
    <t>GERGAJI BATA</t>
  </si>
  <si>
    <t>GERBA25</t>
  </si>
  <si>
    <t>Gergaji Bata Camel 6x18"</t>
  </si>
  <si>
    <t>SZ-DL</t>
  </si>
  <si>
    <t>GERBA26</t>
  </si>
  <si>
    <t>Gergaji Bata Tosita 18'</t>
  </si>
  <si>
    <t>SY-JLT</t>
  </si>
  <si>
    <t>GERBA27</t>
  </si>
  <si>
    <t>Gergaji Bata Jetjo Tools 12"</t>
  </si>
  <si>
    <t>QZU-MPU</t>
  </si>
  <si>
    <t>Gergaji Bata Haston</t>
  </si>
  <si>
    <t>WQU</t>
  </si>
  <si>
    <t>GERBA28</t>
  </si>
  <si>
    <t>8994175020340</t>
  </si>
  <si>
    <t>8994680027216</t>
  </si>
  <si>
    <t>6920129233872</t>
  </si>
  <si>
    <t>6920129221008</t>
  </si>
  <si>
    <t>8994175006757</t>
  </si>
  <si>
    <t>8994175002421</t>
  </si>
  <si>
    <t>6920129233919</t>
  </si>
  <si>
    <t>8994680053871</t>
  </si>
  <si>
    <t>GERS04</t>
  </si>
  <si>
    <t>GERS05</t>
  </si>
  <si>
    <t>GERS06</t>
  </si>
  <si>
    <t>GERS07</t>
  </si>
  <si>
    <t>Gagang Gergaji Besi</t>
  </si>
  <si>
    <t>RQ-JT</t>
  </si>
  <si>
    <t>GERB57</t>
  </si>
  <si>
    <t>Gergaji Triplex Carlog</t>
  </si>
  <si>
    <t>QWU-JLT</t>
  </si>
  <si>
    <t>GERS08</t>
  </si>
  <si>
    <t>GERS09</t>
  </si>
  <si>
    <t>Gergaji Triplex Rush</t>
  </si>
  <si>
    <t>QTR-SMK</t>
  </si>
  <si>
    <t>SS-SSB</t>
  </si>
  <si>
    <t>SU-DL</t>
  </si>
  <si>
    <t>Gergaji Kayu Haston 16" 1260-116</t>
  </si>
  <si>
    <t>Gergaji Kayu IDEKU 14"-120"</t>
  </si>
  <si>
    <t>Gergaji Kayu JASON 20"</t>
  </si>
  <si>
    <t>Gergaji Kayu JASON 18"</t>
  </si>
  <si>
    <t>RRU-AS</t>
  </si>
  <si>
    <t>YT-AS</t>
  </si>
  <si>
    <t>XV-AS</t>
  </si>
  <si>
    <t>GER30</t>
  </si>
  <si>
    <t>GER31</t>
  </si>
  <si>
    <t>GER32</t>
  </si>
  <si>
    <t>8997018198145</t>
  </si>
  <si>
    <t>8997018198138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</si>
</sst>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quotePrefix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42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5"/>
  <sheetViews>
    <sheetView tabSelected="1" workbookViewId="0">
      <pane ySplit="3" topLeftCell="A4" activePane="bottomLeft" state="frozen"/>
      <selection pane="bottomLeft" activeCell="E30" sqref="E30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52.85546875" customWidth="1"/>
    <col min="4" max="4" width="16.7109375" style="19" customWidth="1"/>
    <col min="5" max="5" width="13.7109375" customWidth="1"/>
    <col min="6" max="6" width="15.7109375" style="19" customWidth="1"/>
    <col min="7" max="7" width="9.7109375" style="23" bestFit="1" customWidth="1"/>
    <col min="8" max="8" width="13.5703125" customWidth="1"/>
    <col min="9" max="26" width="8.7109375" customWidth="1"/>
  </cols>
  <sheetData>
    <row r="1" spans="1:10" ht="14.25" customHeight="1" x14ac:dyDescent="0.25">
      <c r="B1" s="1"/>
      <c r="C1" s="2" t="s">
        <v>0</v>
      </c>
      <c r="D1" s="15"/>
      <c r="E1" s="3"/>
      <c r="F1" s="15"/>
    </row>
    <row r="2" spans="1:10" ht="14.25" customHeight="1" x14ac:dyDescent="0.25">
      <c r="B2" s="1"/>
      <c r="D2" s="15"/>
      <c r="E2" s="3"/>
      <c r="F2" s="15"/>
      <c r="J2" s="4"/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6" t="s">
        <v>4</v>
      </c>
      <c r="E3" s="7" t="s">
        <v>5</v>
      </c>
      <c r="F3" s="16" t="s">
        <v>6</v>
      </c>
      <c r="G3" s="5" t="s">
        <v>7</v>
      </c>
      <c r="J3" s="8"/>
    </row>
    <row r="4" spans="1:10" ht="14.25" customHeight="1" x14ac:dyDescent="0.25">
      <c r="A4" s="9" t="s">
        <v>8</v>
      </c>
      <c r="B4" s="9">
        <v>9732881</v>
      </c>
      <c r="C4" s="9" t="s">
        <v>9</v>
      </c>
      <c r="D4" s="17">
        <v>64000</v>
      </c>
      <c r="E4" s="10" t="s">
        <v>10</v>
      </c>
      <c r="F4" s="17">
        <v>100000</v>
      </c>
      <c r="G4" s="21">
        <v>7</v>
      </c>
      <c r="H4" s="19">
        <f>F4-D4</f>
        <v>36000</v>
      </c>
    </row>
    <row r="5" spans="1:10" ht="14.25" customHeight="1" x14ac:dyDescent="0.25">
      <c r="A5" s="9" t="s">
        <v>11</v>
      </c>
      <c r="B5" s="9">
        <v>9732882</v>
      </c>
      <c r="C5" s="9" t="s">
        <v>12</v>
      </c>
      <c r="D5" s="17">
        <v>43750</v>
      </c>
      <c r="E5" s="10" t="s">
        <v>13</v>
      </c>
      <c r="F5" s="17">
        <v>100000</v>
      </c>
      <c r="G5" s="21">
        <v>33</v>
      </c>
      <c r="H5" s="19">
        <f t="shared" ref="H5:H32" si="0">F5-D5</f>
        <v>56250</v>
      </c>
    </row>
    <row r="6" spans="1:10" ht="14.25" customHeight="1" x14ac:dyDescent="0.25">
      <c r="A6" s="9" t="s">
        <v>14</v>
      </c>
      <c r="B6" s="9">
        <v>9732883</v>
      </c>
      <c r="C6" s="9" t="s">
        <v>15</v>
      </c>
      <c r="D6" s="17">
        <v>57250</v>
      </c>
      <c r="E6" s="10" t="s">
        <v>16</v>
      </c>
      <c r="F6" s="17">
        <v>100000</v>
      </c>
      <c r="G6" s="21">
        <v>7</v>
      </c>
      <c r="H6" s="19">
        <f t="shared" si="0"/>
        <v>42750</v>
      </c>
    </row>
    <row r="7" spans="1:10" ht="14.25" customHeight="1" x14ac:dyDescent="0.25">
      <c r="A7" s="9" t="s">
        <v>17</v>
      </c>
      <c r="B7" s="9">
        <v>9732884</v>
      </c>
      <c r="C7" s="9" t="s">
        <v>18</v>
      </c>
      <c r="D7" s="17">
        <v>57250</v>
      </c>
      <c r="E7" s="10" t="s">
        <v>16</v>
      </c>
      <c r="F7" s="17">
        <v>100000</v>
      </c>
      <c r="G7" s="21">
        <v>4</v>
      </c>
      <c r="H7" s="19">
        <f t="shared" si="0"/>
        <v>42750</v>
      </c>
    </row>
    <row r="8" spans="1:10" ht="14.25" customHeight="1" x14ac:dyDescent="0.25">
      <c r="A8" s="9" t="s">
        <v>19</v>
      </c>
      <c r="B8" s="9">
        <v>9732885</v>
      </c>
      <c r="C8" s="9" t="s">
        <v>20</v>
      </c>
      <c r="D8" s="17">
        <v>50000</v>
      </c>
      <c r="E8" s="10" t="s">
        <v>21</v>
      </c>
      <c r="F8" s="17">
        <v>125000</v>
      </c>
      <c r="G8" s="21">
        <v>4</v>
      </c>
      <c r="H8" s="19">
        <f t="shared" si="0"/>
        <v>75000</v>
      </c>
    </row>
    <row r="9" spans="1:10" ht="14.25" customHeight="1" x14ac:dyDescent="0.25">
      <c r="A9" s="9" t="s">
        <v>22</v>
      </c>
      <c r="B9" s="9">
        <v>9732886</v>
      </c>
      <c r="C9" s="9" t="s">
        <v>18</v>
      </c>
      <c r="D9" s="17">
        <v>60000</v>
      </c>
      <c r="E9" s="10" t="s">
        <v>23</v>
      </c>
      <c r="F9" s="17">
        <v>125000</v>
      </c>
      <c r="G9" s="21">
        <v>8</v>
      </c>
      <c r="H9" s="19">
        <f t="shared" si="0"/>
        <v>65000</v>
      </c>
    </row>
    <row r="10" spans="1:10" ht="14.25" customHeight="1" x14ac:dyDescent="0.25">
      <c r="A10" s="9" t="s">
        <v>24</v>
      </c>
      <c r="B10" s="9">
        <v>9732887</v>
      </c>
      <c r="C10" s="9" t="s">
        <v>25</v>
      </c>
      <c r="D10" s="17">
        <v>60000</v>
      </c>
      <c r="E10" s="10" t="s">
        <v>26</v>
      </c>
      <c r="F10" s="17">
        <v>145000</v>
      </c>
      <c r="G10" s="21">
        <v>1</v>
      </c>
      <c r="H10" s="19">
        <f t="shared" si="0"/>
        <v>85000</v>
      </c>
    </row>
    <row r="11" spans="1:10" ht="14.25" customHeight="1" x14ac:dyDescent="0.25">
      <c r="A11" s="9" t="s">
        <v>27</v>
      </c>
      <c r="B11" s="9">
        <v>9732888</v>
      </c>
      <c r="C11" s="9" t="s">
        <v>28</v>
      </c>
      <c r="D11" s="17">
        <v>80000</v>
      </c>
      <c r="E11" s="10" t="s">
        <v>29</v>
      </c>
      <c r="F11" s="17">
        <v>150000</v>
      </c>
      <c r="G11" s="21">
        <v>3</v>
      </c>
      <c r="H11" s="19">
        <f t="shared" si="0"/>
        <v>70000</v>
      </c>
    </row>
    <row r="12" spans="1:10" ht="14.25" customHeight="1" x14ac:dyDescent="0.25">
      <c r="A12" s="9" t="s">
        <v>30</v>
      </c>
      <c r="B12" s="9">
        <v>9732889</v>
      </c>
      <c r="C12" s="9" t="s">
        <v>31</v>
      </c>
      <c r="D12" s="17">
        <v>62500</v>
      </c>
      <c r="E12" s="10" t="s">
        <v>32</v>
      </c>
      <c r="F12" s="17">
        <v>165000</v>
      </c>
      <c r="G12" s="21">
        <v>10</v>
      </c>
      <c r="H12" s="19">
        <f t="shared" si="0"/>
        <v>102500</v>
      </c>
    </row>
    <row r="13" spans="1:10" ht="14.25" customHeight="1" x14ac:dyDescent="0.25">
      <c r="A13" s="9" t="s">
        <v>33</v>
      </c>
      <c r="B13" s="11" t="s">
        <v>141</v>
      </c>
      <c r="C13" s="9" t="s">
        <v>34</v>
      </c>
      <c r="D13" s="17">
        <v>70500</v>
      </c>
      <c r="E13" s="10" t="s">
        <v>35</v>
      </c>
      <c r="F13" s="17">
        <v>150000</v>
      </c>
      <c r="G13" s="21">
        <v>11</v>
      </c>
      <c r="H13" s="19">
        <f t="shared" si="0"/>
        <v>79500</v>
      </c>
    </row>
    <row r="14" spans="1:10" ht="14.25" customHeight="1" x14ac:dyDescent="0.25">
      <c r="A14" s="9" t="s">
        <v>36</v>
      </c>
      <c r="B14" s="11" t="s">
        <v>142</v>
      </c>
      <c r="C14" s="9" t="s">
        <v>37</v>
      </c>
      <c r="D14" s="17">
        <v>70600</v>
      </c>
      <c r="E14" s="10" t="s">
        <v>38</v>
      </c>
      <c r="F14" s="17">
        <v>175000</v>
      </c>
      <c r="G14" s="21">
        <v>14</v>
      </c>
      <c r="H14" s="19">
        <f t="shared" si="0"/>
        <v>104400</v>
      </c>
    </row>
    <row r="15" spans="1:10" ht="14.25" customHeight="1" x14ac:dyDescent="0.25">
      <c r="A15" s="9" t="s">
        <v>39</v>
      </c>
      <c r="B15" s="11" t="s">
        <v>143</v>
      </c>
      <c r="C15" s="9" t="s">
        <v>40</v>
      </c>
      <c r="D15" s="17">
        <v>34500</v>
      </c>
      <c r="E15" s="10" t="s">
        <v>41</v>
      </c>
      <c r="F15" s="17">
        <v>65000</v>
      </c>
      <c r="G15" s="21">
        <v>2</v>
      </c>
      <c r="H15" s="19">
        <f t="shared" si="0"/>
        <v>30500</v>
      </c>
    </row>
    <row r="16" spans="1:10" ht="14.25" customHeight="1" x14ac:dyDescent="0.25">
      <c r="A16" s="9" t="s">
        <v>42</v>
      </c>
      <c r="B16" s="9">
        <v>9732890</v>
      </c>
      <c r="C16" s="9" t="s">
        <v>43</v>
      </c>
      <c r="D16" s="17">
        <v>37500</v>
      </c>
      <c r="E16" s="10" t="s">
        <v>44</v>
      </c>
      <c r="F16" s="17">
        <v>65000</v>
      </c>
      <c r="G16" s="21">
        <v>4</v>
      </c>
      <c r="H16" s="19">
        <f t="shared" si="0"/>
        <v>27500</v>
      </c>
    </row>
    <row r="17" spans="1:8" ht="14.25" customHeight="1" x14ac:dyDescent="0.25">
      <c r="A17" s="9" t="s">
        <v>45</v>
      </c>
      <c r="B17" s="9">
        <v>9732891</v>
      </c>
      <c r="C17" s="9" t="s">
        <v>46</v>
      </c>
      <c r="D17" s="17">
        <v>50000</v>
      </c>
      <c r="E17" s="10" t="s">
        <v>47</v>
      </c>
      <c r="F17" s="17">
        <v>85000</v>
      </c>
      <c r="G17" s="21">
        <v>8</v>
      </c>
      <c r="H17" s="19">
        <f t="shared" si="0"/>
        <v>35000</v>
      </c>
    </row>
    <row r="18" spans="1:8" ht="14.25" customHeight="1" x14ac:dyDescent="0.25">
      <c r="A18" s="9" t="s">
        <v>48</v>
      </c>
      <c r="B18" s="9">
        <v>9732892</v>
      </c>
      <c r="C18" s="9" t="s">
        <v>49</v>
      </c>
      <c r="D18" s="17">
        <v>33000</v>
      </c>
      <c r="E18" s="10" t="s">
        <v>158</v>
      </c>
      <c r="F18" s="17">
        <v>65000</v>
      </c>
      <c r="G18" s="21">
        <v>24</v>
      </c>
      <c r="H18" s="19">
        <f t="shared" si="0"/>
        <v>32000</v>
      </c>
    </row>
    <row r="19" spans="1:8" ht="14.25" customHeight="1" x14ac:dyDescent="0.25">
      <c r="A19" s="9" t="s">
        <v>50</v>
      </c>
      <c r="B19" s="9">
        <v>9732893</v>
      </c>
      <c r="C19" s="9" t="s">
        <v>51</v>
      </c>
      <c r="D19" s="17">
        <v>57000</v>
      </c>
      <c r="E19" s="10" t="s">
        <v>52</v>
      </c>
      <c r="F19" s="17">
        <v>125000</v>
      </c>
      <c r="G19" s="21">
        <v>5</v>
      </c>
      <c r="H19" s="19">
        <f t="shared" si="0"/>
        <v>68000</v>
      </c>
    </row>
    <row r="20" spans="1:8" ht="14.25" customHeight="1" x14ac:dyDescent="0.25">
      <c r="A20" s="9" t="s">
        <v>53</v>
      </c>
      <c r="B20" s="9">
        <v>9732894</v>
      </c>
      <c r="C20" s="9" t="s">
        <v>54</v>
      </c>
      <c r="D20" s="17">
        <v>60000</v>
      </c>
      <c r="E20" s="10" t="s">
        <v>23</v>
      </c>
      <c r="F20" s="17">
        <v>150000</v>
      </c>
      <c r="G20" s="21">
        <v>6</v>
      </c>
      <c r="H20" s="19">
        <f t="shared" si="0"/>
        <v>90000</v>
      </c>
    </row>
    <row r="21" spans="1:8" ht="14.25" customHeight="1" x14ac:dyDescent="0.25">
      <c r="A21" s="9" t="s">
        <v>55</v>
      </c>
      <c r="B21" s="9">
        <v>9732895</v>
      </c>
      <c r="C21" s="9" t="s">
        <v>56</v>
      </c>
      <c r="D21" s="17">
        <v>59500</v>
      </c>
      <c r="E21" s="10" t="s">
        <v>57</v>
      </c>
      <c r="F21" s="17">
        <v>125000</v>
      </c>
      <c r="G21" s="21">
        <v>37</v>
      </c>
      <c r="H21" s="19">
        <f t="shared" si="0"/>
        <v>65500</v>
      </c>
    </row>
    <row r="22" spans="1:8" ht="14.25" customHeight="1" x14ac:dyDescent="0.25">
      <c r="A22" s="9" t="s">
        <v>58</v>
      </c>
      <c r="B22" s="9">
        <v>9732896</v>
      </c>
      <c r="C22" s="9" t="s">
        <v>59</v>
      </c>
      <c r="D22" s="17">
        <v>57500</v>
      </c>
      <c r="E22" s="10" t="s">
        <v>60</v>
      </c>
      <c r="F22" s="17">
        <v>125000</v>
      </c>
      <c r="G22" s="21">
        <v>8</v>
      </c>
      <c r="H22" s="19">
        <f t="shared" si="0"/>
        <v>67500</v>
      </c>
    </row>
    <row r="23" spans="1:8" ht="14.25" customHeight="1" x14ac:dyDescent="0.25">
      <c r="A23" s="9" t="s">
        <v>61</v>
      </c>
      <c r="B23" s="9">
        <v>9732897</v>
      </c>
      <c r="C23" s="9" t="s">
        <v>62</v>
      </c>
      <c r="D23" s="17">
        <v>59000</v>
      </c>
      <c r="E23" s="10" t="s">
        <v>63</v>
      </c>
      <c r="F23" s="17">
        <v>125000</v>
      </c>
      <c r="G23" s="21">
        <v>10</v>
      </c>
      <c r="H23" s="19">
        <f t="shared" si="0"/>
        <v>66000</v>
      </c>
    </row>
    <row r="24" spans="1:8" ht="14.25" customHeight="1" x14ac:dyDescent="0.25">
      <c r="A24" s="9" t="s">
        <v>64</v>
      </c>
      <c r="B24" s="9">
        <v>9732898</v>
      </c>
      <c r="C24" s="9" t="s">
        <v>65</v>
      </c>
      <c r="D24" s="17">
        <v>64000</v>
      </c>
      <c r="E24" s="10" t="s">
        <v>66</v>
      </c>
      <c r="F24" s="17">
        <v>150000</v>
      </c>
      <c r="G24" s="21">
        <v>11</v>
      </c>
      <c r="H24" s="19">
        <f t="shared" si="0"/>
        <v>86000</v>
      </c>
    </row>
    <row r="25" spans="1:8" ht="14.25" customHeight="1" x14ac:dyDescent="0.25">
      <c r="A25" s="9" t="s">
        <v>67</v>
      </c>
      <c r="B25" s="9">
        <v>9732899</v>
      </c>
      <c r="C25" s="9" t="s">
        <v>68</v>
      </c>
      <c r="D25" s="17">
        <v>52500</v>
      </c>
      <c r="E25" s="10" t="s">
        <v>69</v>
      </c>
      <c r="F25" s="17">
        <v>155000</v>
      </c>
      <c r="G25" s="21">
        <v>5</v>
      </c>
      <c r="H25" s="19">
        <f t="shared" si="0"/>
        <v>102500</v>
      </c>
    </row>
    <row r="26" spans="1:8" ht="14.25" customHeight="1" x14ac:dyDescent="0.25">
      <c r="A26" s="9" t="s">
        <v>70</v>
      </c>
      <c r="B26" s="9" t="s">
        <v>71</v>
      </c>
      <c r="C26" s="9" t="s">
        <v>72</v>
      </c>
      <c r="D26" s="17">
        <v>87500</v>
      </c>
      <c r="E26" s="10" t="s">
        <v>73</v>
      </c>
      <c r="F26" s="17">
        <v>150000</v>
      </c>
      <c r="G26" s="21">
        <v>2</v>
      </c>
      <c r="H26" s="19">
        <f t="shared" si="0"/>
        <v>62500</v>
      </c>
    </row>
    <row r="27" spans="1:8" ht="14.25" customHeight="1" x14ac:dyDescent="0.25">
      <c r="A27" s="9" t="s">
        <v>74</v>
      </c>
      <c r="B27" s="9">
        <v>9732100</v>
      </c>
      <c r="C27" s="9" t="s">
        <v>75</v>
      </c>
      <c r="D27" s="17">
        <v>30000</v>
      </c>
      <c r="E27" s="10" t="s">
        <v>76</v>
      </c>
      <c r="F27" s="17">
        <v>75000</v>
      </c>
      <c r="G27" s="21">
        <v>1</v>
      </c>
      <c r="H27" s="19">
        <f t="shared" si="0"/>
        <v>45000</v>
      </c>
    </row>
    <row r="28" spans="1:8" ht="14.25" customHeight="1" x14ac:dyDescent="0.25">
      <c r="A28" s="12" t="s">
        <v>77</v>
      </c>
      <c r="B28" s="13" t="s">
        <v>144</v>
      </c>
      <c r="C28" s="12" t="s">
        <v>160</v>
      </c>
      <c r="D28" s="18">
        <v>35000</v>
      </c>
      <c r="E28" s="14" t="s">
        <v>159</v>
      </c>
      <c r="F28" s="18">
        <v>65000</v>
      </c>
      <c r="G28" s="22">
        <v>2</v>
      </c>
      <c r="H28" s="19">
        <f t="shared" si="0"/>
        <v>30000</v>
      </c>
    </row>
    <row r="29" spans="1:8" ht="14.25" customHeight="1" x14ac:dyDescent="0.25">
      <c r="A29" s="9" t="s">
        <v>78</v>
      </c>
      <c r="B29" s="9">
        <v>9732101</v>
      </c>
      <c r="C29" s="9" t="s">
        <v>79</v>
      </c>
      <c r="D29" s="17">
        <v>10000</v>
      </c>
      <c r="E29" s="10" t="s">
        <v>80</v>
      </c>
      <c r="F29" s="17">
        <v>75000</v>
      </c>
      <c r="G29" s="21">
        <v>7</v>
      </c>
      <c r="H29" s="19">
        <f t="shared" si="0"/>
        <v>65000</v>
      </c>
    </row>
    <row r="30" spans="1:8" ht="14.25" customHeight="1" x14ac:dyDescent="0.25">
      <c r="A30" s="9" t="s">
        <v>167</v>
      </c>
      <c r="B30" s="9">
        <v>9732102</v>
      </c>
      <c r="C30" s="9" t="s">
        <v>161</v>
      </c>
      <c r="D30" s="17">
        <v>22500</v>
      </c>
      <c r="E30" s="10" t="s">
        <v>164</v>
      </c>
      <c r="F30" s="17">
        <v>55000</v>
      </c>
      <c r="G30" s="21">
        <v>12</v>
      </c>
      <c r="H30" s="19">
        <f t="shared" si="0"/>
        <v>32500</v>
      </c>
    </row>
    <row r="31" spans="1:8" ht="14.25" customHeight="1" x14ac:dyDescent="0.25">
      <c r="A31" s="9" t="s">
        <v>168</v>
      </c>
      <c r="B31" s="11" t="s">
        <v>170</v>
      </c>
      <c r="C31" s="9" t="s">
        <v>162</v>
      </c>
      <c r="D31" s="17">
        <v>94000</v>
      </c>
      <c r="E31" s="10" t="s">
        <v>165</v>
      </c>
      <c r="F31" s="17">
        <v>185000</v>
      </c>
      <c r="G31" s="21">
        <v>3</v>
      </c>
      <c r="H31" s="19">
        <f t="shared" si="0"/>
        <v>91000</v>
      </c>
    </row>
    <row r="32" spans="1:8" ht="14.25" customHeight="1" x14ac:dyDescent="0.25">
      <c r="A32" s="9" t="s">
        <v>169</v>
      </c>
      <c r="B32" s="11" t="s">
        <v>171</v>
      </c>
      <c r="C32" s="9" t="s">
        <v>163</v>
      </c>
      <c r="D32" s="17">
        <v>86000</v>
      </c>
      <c r="E32" s="10" t="s">
        <v>166</v>
      </c>
      <c r="F32" s="17">
        <v>175000</v>
      </c>
      <c r="G32" s="21">
        <v>3</v>
      </c>
      <c r="H32" s="19">
        <f t="shared" si="0"/>
        <v>89000</v>
      </c>
    </row>
    <row r="33" spans="1:8" ht="14.25" customHeight="1" x14ac:dyDescent="0.25">
      <c r="A33" s="9"/>
      <c r="B33" s="9"/>
      <c r="C33" s="9"/>
      <c r="D33" s="17"/>
      <c r="E33" s="10"/>
      <c r="F33" s="17"/>
      <c r="G33" s="21"/>
      <c r="H33" s="19"/>
    </row>
    <row r="34" spans="1:8" ht="14.25" customHeight="1" x14ac:dyDescent="0.25">
      <c r="A34" s="9"/>
      <c r="B34" s="9"/>
      <c r="C34" s="9"/>
      <c r="D34" s="17"/>
      <c r="E34" s="10"/>
      <c r="F34" s="17"/>
      <c r="G34" s="21"/>
      <c r="H34" s="19"/>
    </row>
    <row r="35" spans="1:8" ht="14.25" customHeight="1" x14ac:dyDescent="0.25">
      <c r="A35" s="9"/>
      <c r="B35" s="9"/>
      <c r="C35" s="9"/>
      <c r="D35" s="17"/>
      <c r="E35" s="10"/>
      <c r="F35" s="17"/>
      <c r="G35" s="21"/>
      <c r="H35" s="19"/>
    </row>
    <row r="36" spans="1:8" ht="14.25" customHeight="1" x14ac:dyDescent="0.25">
      <c r="A36" s="9"/>
      <c r="B36" s="9"/>
      <c r="C36" s="9"/>
      <c r="D36" s="17"/>
      <c r="E36" s="10"/>
      <c r="F36" s="17"/>
      <c r="G36" s="21"/>
      <c r="H36" s="19"/>
    </row>
    <row r="37" spans="1:8" ht="14.25" customHeight="1" x14ac:dyDescent="0.25">
      <c r="A37" s="9"/>
      <c r="B37" s="9"/>
      <c r="C37" s="9"/>
      <c r="D37" s="17"/>
      <c r="E37" s="10"/>
      <c r="F37" s="17"/>
      <c r="G37" s="21"/>
      <c r="H37" s="19"/>
    </row>
    <row r="38" spans="1:8" ht="14.25" customHeight="1" x14ac:dyDescent="0.25">
      <c r="A38" s="9"/>
      <c r="B38" s="9"/>
      <c r="C38" s="9"/>
      <c r="D38" s="17"/>
      <c r="E38" s="10"/>
      <c r="F38" s="17"/>
      <c r="G38" s="21"/>
      <c r="H38" s="19"/>
    </row>
    <row r="39" spans="1:8" ht="14.25" customHeight="1" x14ac:dyDescent="0.25">
      <c r="A39" s="9"/>
      <c r="B39" s="9"/>
      <c r="C39" s="9"/>
      <c r="D39" s="17"/>
      <c r="E39" s="10"/>
      <c r="F39" s="17"/>
      <c r="G39" s="21"/>
      <c r="H39" s="19"/>
    </row>
    <row r="40" spans="1:8" ht="14.25" customHeight="1" x14ac:dyDescent="0.25">
      <c r="A40" s="9"/>
      <c r="B40" s="9"/>
      <c r="C40" s="9"/>
      <c r="D40" s="17"/>
      <c r="E40" s="10"/>
      <c r="F40" s="17"/>
      <c r="G40" s="21"/>
      <c r="H40" s="19"/>
    </row>
    <row r="41" spans="1:8" ht="14.25" customHeight="1" x14ac:dyDescent="0.25">
      <c r="A41" s="9"/>
      <c r="B41" s="9"/>
      <c r="C41" s="9"/>
      <c r="D41" s="17"/>
      <c r="E41" s="10"/>
      <c r="F41" s="17"/>
      <c r="G41" s="21"/>
      <c r="H41" s="19"/>
    </row>
    <row r="42" spans="1:8" ht="14.25" customHeight="1" x14ac:dyDescent="0.25">
      <c r="A42" s="9"/>
      <c r="B42" s="9"/>
      <c r="C42" s="9"/>
      <c r="D42" s="17"/>
      <c r="E42" s="10"/>
      <c r="F42" s="17"/>
      <c r="G42" s="21"/>
      <c r="H42" s="19"/>
    </row>
    <row r="43" spans="1:8" ht="14.25" customHeight="1" x14ac:dyDescent="0.25">
      <c r="A43" s="9"/>
      <c r="B43" s="9"/>
      <c r="C43" s="9"/>
      <c r="D43" s="17"/>
      <c r="E43" s="10"/>
      <c r="F43" s="17"/>
      <c r="G43" s="21"/>
    </row>
    <row r="44" spans="1:8" ht="14.25" customHeight="1" x14ac:dyDescent="0.25">
      <c r="A44" s="9"/>
      <c r="B44" s="9"/>
      <c r="C44" s="9"/>
      <c r="D44" s="17"/>
      <c r="E44" s="10"/>
      <c r="F44" s="17"/>
      <c r="G44" s="21"/>
    </row>
    <row r="45" spans="1:8" ht="14.25" customHeight="1" x14ac:dyDescent="0.25"/>
    <row r="46" spans="1:8" ht="14.25" customHeight="1" x14ac:dyDescent="0.25"/>
    <row r="47" spans="1:8" ht="14.25" customHeight="1" x14ac:dyDescent="0.25"/>
    <row r="48" spans="1: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phoneticPr fontId="3" type="noConversion"/>
  <conditionalFormatting sqref="B1:B1048576">
    <cfRule type="duplicateValues" dxfId="2" priority="2"/>
  </conditionalFormatting>
  <conditionalFormatting sqref="A1:A1048576">
    <cfRule type="duplicateValues" dxfId="1" priority="1"/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pane ySplit="3" topLeftCell="A4" activePane="bottomLeft" state="frozen"/>
      <selection pane="bottomLeft" activeCell="J2" sqref="J2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44.85546875" customWidth="1"/>
    <col min="4" max="4" width="14.7109375" style="19" customWidth="1"/>
    <col min="5" max="5" width="13.42578125" customWidth="1"/>
    <col min="6" max="6" width="14.85546875" style="19" customWidth="1"/>
    <col min="7" max="7" width="10" style="23" customWidth="1"/>
    <col min="8" max="8" width="13.42578125" customWidth="1"/>
    <col min="9" max="10" width="8.7109375" customWidth="1"/>
  </cols>
  <sheetData>
    <row r="1" spans="1:10" ht="14.25" customHeight="1" x14ac:dyDescent="0.25">
      <c r="B1" s="1"/>
      <c r="C1" s="2" t="s">
        <v>81</v>
      </c>
      <c r="D1" s="15"/>
      <c r="E1" s="3"/>
      <c r="F1" s="15"/>
    </row>
    <row r="2" spans="1:10" ht="14.25" customHeight="1" x14ac:dyDescent="0.25">
      <c r="B2" s="1"/>
      <c r="D2" s="15"/>
      <c r="E2" s="3"/>
      <c r="F2" s="15"/>
      <c r="J2" s="4"/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6" t="s">
        <v>4</v>
      </c>
      <c r="E3" s="7" t="s">
        <v>5</v>
      </c>
      <c r="F3" s="16" t="s">
        <v>6</v>
      </c>
      <c r="G3" s="5" t="s">
        <v>7</v>
      </c>
      <c r="J3" s="8"/>
    </row>
    <row r="4" spans="1:10" ht="14.25" customHeight="1" x14ac:dyDescent="0.25">
      <c r="A4" s="9" t="s">
        <v>82</v>
      </c>
      <c r="B4" s="9">
        <v>8886728</v>
      </c>
      <c r="C4" s="9" t="s">
        <v>83</v>
      </c>
      <c r="D4" s="17">
        <v>40000</v>
      </c>
      <c r="E4" s="10" t="s">
        <v>84</v>
      </c>
      <c r="F4" s="17">
        <v>75000</v>
      </c>
      <c r="G4" s="21">
        <v>22</v>
      </c>
      <c r="H4" s="19">
        <f>F4-D4</f>
        <v>35000</v>
      </c>
    </row>
    <row r="5" spans="1:10" ht="14.25" customHeight="1" x14ac:dyDescent="0.25">
      <c r="A5" s="9" t="s">
        <v>85</v>
      </c>
      <c r="B5" s="11" t="s">
        <v>139</v>
      </c>
      <c r="C5" s="9" t="s">
        <v>86</v>
      </c>
      <c r="D5" s="17">
        <v>25600</v>
      </c>
      <c r="E5" s="10" t="s">
        <v>87</v>
      </c>
      <c r="F5" s="17">
        <v>55000</v>
      </c>
      <c r="G5" s="21">
        <v>8</v>
      </c>
      <c r="H5" s="19">
        <f t="shared" ref="H5:H11" si="0">F5-D5</f>
        <v>29400</v>
      </c>
    </row>
    <row r="6" spans="1:10" ht="14.25" customHeight="1" x14ac:dyDescent="0.25">
      <c r="A6" s="9" t="s">
        <v>88</v>
      </c>
      <c r="B6" s="11" t="s">
        <v>140</v>
      </c>
      <c r="C6" s="9" t="s">
        <v>89</v>
      </c>
      <c r="D6" s="17">
        <v>26500</v>
      </c>
      <c r="E6" s="10" t="s">
        <v>90</v>
      </c>
      <c r="F6" s="17">
        <v>65000</v>
      </c>
      <c r="G6" s="21">
        <v>2</v>
      </c>
      <c r="H6" s="19">
        <f t="shared" si="0"/>
        <v>38500</v>
      </c>
    </row>
    <row r="7" spans="1:10" ht="14.25" customHeight="1" x14ac:dyDescent="0.25">
      <c r="A7" s="9" t="s">
        <v>91</v>
      </c>
      <c r="B7" s="9">
        <v>8886729</v>
      </c>
      <c r="C7" s="9" t="s">
        <v>92</v>
      </c>
      <c r="D7" s="17">
        <v>37500</v>
      </c>
      <c r="E7" s="10" t="s">
        <v>93</v>
      </c>
      <c r="F7" s="17">
        <v>75000</v>
      </c>
      <c r="G7" s="21">
        <v>1</v>
      </c>
      <c r="H7" s="19">
        <f t="shared" si="0"/>
        <v>37500</v>
      </c>
    </row>
    <row r="8" spans="1:10" ht="14.25" customHeight="1" x14ac:dyDescent="0.25">
      <c r="A8" s="9" t="s">
        <v>94</v>
      </c>
      <c r="B8" s="9">
        <v>8886730</v>
      </c>
      <c r="C8" s="9" t="s">
        <v>95</v>
      </c>
      <c r="D8" s="17">
        <v>35000</v>
      </c>
      <c r="E8" s="10" t="s">
        <v>96</v>
      </c>
      <c r="F8" s="17">
        <v>85000</v>
      </c>
      <c r="G8" s="21">
        <v>22</v>
      </c>
      <c r="H8" s="19">
        <f t="shared" si="0"/>
        <v>50000</v>
      </c>
    </row>
    <row r="9" spans="1:10" ht="14.25" customHeight="1" x14ac:dyDescent="0.25">
      <c r="A9" s="9" t="s">
        <v>97</v>
      </c>
      <c r="B9" s="9">
        <v>8886731</v>
      </c>
      <c r="C9" s="9" t="s">
        <v>98</v>
      </c>
      <c r="D9" s="17">
        <v>13000</v>
      </c>
      <c r="E9" s="10" t="s">
        <v>99</v>
      </c>
      <c r="F9" s="17">
        <v>37000</v>
      </c>
      <c r="G9" s="21">
        <v>17</v>
      </c>
      <c r="H9" s="19">
        <f t="shared" si="0"/>
        <v>24000</v>
      </c>
    </row>
    <row r="10" spans="1:10" ht="14.25" customHeight="1" x14ac:dyDescent="0.25">
      <c r="A10" s="9" t="s">
        <v>100</v>
      </c>
      <c r="B10" s="9">
        <v>8886732</v>
      </c>
      <c r="C10" s="9" t="s">
        <v>101</v>
      </c>
      <c r="D10" s="17">
        <v>37500</v>
      </c>
      <c r="E10" s="10" t="s">
        <v>102</v>
      </c>
      <c r="F10" s="17">
        <v>85000</v>
      </c>
      <c r="G10" s="21">
        <v>2</v>
      </c>
      <c r="H10" s="19">
        <f t="shared" si="0"/>
        <v>47500</v>
      </c>
    </row>
    <row r="11" spans="1:10" ht="14.25" customHeight="1" x14ac:dyDescent="0.25">
      <c r="A11" s="9" t="s">
        <v>103</v>
      </c>
      <c r="B11" s="9">
        <v>8886733</v>
      </c>
      <c r="C11" s="9" t="s">
        <v>104</v>
      </c>
      <c r="D11" s="17">
        <v>35000</v>
      </c>
      <c r="E11" s="10" t="s">
        <v>105</v>
      </c>
      <c r="F11" s="17">
        <v>65000</v>
      </c>
      <c r="G11" s="21">
        <v>10</v>
      </c>
      <c r="H11" s="19">
        <f t="shared" si="0"/>
        <v>30000</v>
      </c>
    </row>
    <row r="12" spans="1:10" ht="14.25" customHeight="1" x14ac:dyDescent="0.25">
      <c r="A12" s="9"/>
      <c r="B12" s="9"/>
      <c r="C12" s="9"/>
      <c r="D12" s="17"/>
      <c r="E12" s="10"/>
      <c r="F12" s="17"/>
      <c r="G12" s="21"/>
    </row>
    <row r="13" spans="1:10" ht="14.25" customHeight="1" x14ac:dyDescent="0.25">
      <c r="A13" s="9"/>
      <c r="B13" s="9"/>
      <c r="C13" s="9"/>
      <c r="D13" s="17"/>
      <c r="E13" s="10"/>
      <c r="F13" s="17"/>
      <c r="G13" s="21"/>
    </row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ySplit="3" topLeftCell="A4" activePane="bottomLeft" state="frozen"/>
      <selection pane="bottomLeft" activeCell="J2" sqref="J2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40.140625" customWidth="1"/>
    <col min="4" max="4" width="16" style="19" customWidth="1"/>
    <col min="5" max="5" width="13.5703125" customWidth="1"/>
    <col min="6" max="6" width="15.42578125" style="19" customWidth="1"/>
    <col min="7" max="7" width="9.140625" style="23" customWidth="1"/>
    <col min="8" max="8" width="12.42578125" customWidth="1"/>
    <col min="9" max="10" width="8.7109375" customWidth="1"/>
  </cols>
  <sheetData>
    <row r="1" spans="1:10" ht="14.25" customHeight="1" x14ac:dyDescent="0.25">
      <c r="B1" s="1"/>
      <c r="C1" s="2" t="s">
        <v>106</v>
      </c>
      <c r="D1" s="15"/>
      <c r="E1" s="3"/>
      <c r="F1" s="15"/>
    </row>
    <row r="2" spans="1:10" ht="14.25" customHeight="1" x14ac:dyDescent="0.25">
      <c r="B2" s="1"/>
      <c r="D2" s="15"/>
      <c r="E2" s="3"/>
      <c r="F2" s="15"/>
      <c r="J2" s="4"/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6" t="s">
        <v>4</v>
      </c>
      <c r="E3" s="7" t="s">
        <v>5</v>
      </c>
      <c r="F3" s="16" t="s">
        <v>6</v>
      </c>
      <c r="G3" s="5" t="s">
        <v>7</v>
      </c>
      <c r="J3" s="8"/>
    </row>
    <row r="4" spans="1:10" ht="14.25" customHeight="1" x14ac:dyDescent="0.25">
      <c r="A4" s="9" t="s">
        <v>145</v>
      </c>
      <c r="B4" s="11" t="s">
        <v>138</v>
      </c>
      <c r="C4" s="9" t="s">
        <v>107</v>
      </c>
      <c r="D4" s="17">
        <v>71250</v>
      </c>
      <c r="E4" s="10" t="s">
        <v>108</v>
      </c>
      <c r="F4" s="17">
        <v>165000</v>
      </c>
      <c r="G4" s="21">
        <v>10</v>
      </c>
      <c r="H4" s="19">
        <f>F4-D4</f>
        <v>93750</v>
      </c>
    </row>
    <row r="5" spans="1:10" ht="14.25" customHeight="1" x14ac:dyDescent="0.25">
      <c r="A5" s="9" t="s">
        <v>146</v>
      </c>
      <c r="B5" s="9">
        <v>7776891</v>
      </c>
      <c r="C5" s="9" t="s">
        <v>109</v>
      </c>
      <c r="D5" s="17">
        <v>6500</v>
      </c>
      <c r="E5" s="10" t="s">
        <v>110</v>
      </c>
      <c r="F5" s="17">
        <v>125000</v>
      </c>
      <c r="G5" s="21">
        <v>11</v>
      </c>
      <c r="H5" s="19">
        <f t="shared" ref="H5:H9" si="0">F5-D5</f>
        <v>118500</v>
      </c>
    </row>
    <row r="6" spans="1:10" ht="14.25" customHeight="1" x14ac:dyDescent="0.25">
      <c r="A6" s="9" t="s">
        <v>147</v>
      </c>
      <c r="B6" s="9">
        <v>7776892</v>
      </c>
      <c r="C6" s="9" t="s">
        <v>111</v>
      </c>
      <c r="D6" s="17">
        <v>50000</v>
      </c>
      <c r="E6" s="10" t="s">
        <v>112</v>
      </c>
      <c r="F6" s="17">
        <v>100000</v>
      </c>
      <c r="G6" s="21">
        <v>6</v>
      </c>
      <c r="H6" s="19">
        <f t="shared" si="0"/>
        <v>50000</v>
      </c>
    </row>
    <row r="7" spans="1:10" ht="14.25" customHeight="1" x14ac:dyDescent="0.25">
      <c r="A7" s="9" t="s">
        <v>148</v>
      </c>
      <c r="B7" s="9">
        <v>7776893</v>
      </c>
      <c r="C7" s="9" t="s">
        <v>113</v>
      </c>
      <c r="D7" s="17">
        <v>42000</v>
      </c>
      <c r="E7" s="10" t="s">
        <v>114</v>
      </c>
      <c r="F7" s="17">
        <v>100000</v>
      </c>
      <c r="G7" s="21">
        <v>9</v>
      </c>
      <c r="H7" s="19">
        <f t="shared" si="0"/>
        <v>58000</v>
      </c>
    </row>
    <row r="8" spans="1:10" ht="14.25" customHeight="1" x14ac:dyDescent="0.25">
      <c r="A8" s="9" t="s">
        <v>154</v>
      </c>
      <c r="B8" s="9">
        <v>7776894</v>
      </c>
      <c r="C8" s="9" t="s">
        <v>152</v>
      </c>
      <c r="D8" s="17">
        <v>17500</v>
      </c>
      <c r="E8" s="10" t="s">
        <v>153</v>
      </c>
      <c r="F8" s="17">
        <v>38000</v>
      </c>
      <c r="G8" s="21">
        <v>15</v>
      </c>
      <c r="H8" s="19">
        <f t="shared" si="0"/>
        <v>20500</v>
      </c>
    </row>
    <row r="9" spans="1:10" ht="14.25" customHeight="1" x14ac:dyDescent="0.25">
      <c r="A9" s="9" t="s">
        <v>155</v>
      </c>
      <c r="B9" s="9">
        <v>7776895</v>
      </c>
      <c r="C9" s="9" t="s">
        <v>156</v>
      </c>
      <c r="D9" s="17">
        <v>14200</v>
      </c>
      <c r="E9" s="10" t="s">
        <v>157</v>
      </c>
      <c r="F9" s="17">
        <v>38000</v>
      </c>
      <c r="G9" s="21">
        <v>3</v>
      </c>
      <c r="H9" s="19">
        <f t="shared" si="0"/>
        <v>23800</v>
      </c>
    </row>
    <row r="10" spans="1:10" ht="14.25" customHeight="1" x14ac:dyDescent="0.25">
      <c r="A10" s="9"/>
      <c r="B10" s="9"/>
      <c r="C10" s="9"/>
      <c r="D10" s="17"/>
      <c r="E10" s="10"/>
      <c r="F10" s="17"/>
      <c r="G10" s="21"/>
    </row>
    <row r="11" spans="1:10" ht="14.25" customHeight="1" x14ac:dyDescent="0.25">
      <c r="A11" s="9"/>
      <c r="B11" s="9"/>
      <c r="C11" s="9"/>
      <c r="D11" s="17"/>
      <c r="E11" s="10"/>
      <c r="F11" s="17"/>
      <c r="G11" s="21"/>
    </row>
    <row r="12" spans="1:10" ht="14.25" customHeight="1" x14ac:dyDescent="0.25">
      <c r="A12" s="9"/>
      <c r="B12" s="9"/>
      <c r="C12" s="9"/>
      <c r="D12" s="17"/>
      <c r="E12" s="10"/>
      <c r="F12" s="17"/>
      <c r="G12" s="21"/>
    </row>
    <row r="13" spans="1:10" ht="14.25" customHeight="1" x14ac:dyDescent="0.25">
      <c r="A13" s="9"/>
      <c r="B13" s="9"/>
      <c r="C13" s="9"/>
      <c r="D13" s="17"/>
      <c r="E13" s="10"/>
      <c r="F13" s="17"/>
      <c r="G13" s="21"/>
    </row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" type="noConversion"/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pane ySplit="3" topLeftCell="A4" activePane="bottomLeft" state="frozen"/>
      <selection pane="bottomLeft" activeCell="H4" sqref="H4:H7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40.140625" customWidth="1"/>
    <col min="4" max="4" width="14.42578125" style="19"/>
    <col min="5" max="5" width="12.28515625" customWidth="1"/>
    <col min="6" max="6" width="13.5703125" style="19" customWidth="1"/>
    <col min="7" max="7" width="9.140625" style="23" customWidth="1"/>
    <col min="8" max="8" width="13.5703125" customWidth="1"/>
    <col min="9" max="10" width="8.7109375" customWidth="1"/>
  </cols>
  <sheetData>
    <row r="1" spans="1:10" ht="14.25" customHeight="1" x14ac:dyDescent="0.25">
      <c r="B1" s="1"/>
      <c r="C1" s="2" t="s">
        <v>115</v>
      </c>
      <c r="D1" s="15"/>
      <c r="E1" s="3"/>
      <c r="F1" s="15"/>
    </row>
    <row r="2" spans="1:10" ht="14.25" customHeight="1" x14ac:dyDescent="0.25">
      <c r="B2" s="1"/>
      <c r="D2" s="15"/>
      <c r="E2" s="3"/>
      <c r="F2" s="15"/>
      <c r="J2" s="4"/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6" t="s">
        <v>4</v>
      </c>
      <c r="E3" s="7" t="s">
        <v>5</v>
      </c>
      <c r="F3" s="16" t="s">
        <v>6</v>
      </c>
      <c r="G3" s="5" t="s">
        <v>7</v>
      </c>
      <c r="J3" s="8"/>
    </row>
    <row r="4" spans="1:10" ht="14.25" customHeight="1" x14ac:dyDescent="0.25">
      <c r="A4" s="9" t="s">
        <v>116</v>
      </c>
      <c r="B4" s="9">
        <v>6632888</v>
      </c>
      <c r="C4" s="9" t="s">
        <v>117</v>
      </c>
      <c r="D4" s="17">
        <v>12700</v>
      </c>
      <c r="E4" s="10" t="s">
        <v>118</v>
      </c>
      <c r="F4" s="17">
        <v>38000</v>
      </c>
      <c r="G4" s="21">
        <v>6</v>
      </c>
      <c r="H4" s="19">
        <f>F4-D4</f>
        <v>25300</v>
      </c>
    </row>
    <row r="5" spans="1:10" ht="14.25" customHeight="1" x14ac:dyDescent="0.25">
      <c r="A5" s="9" t="s">
        <v>119</v>
      </c>
      <c r="B5" s="11" t="s">
        <v>137</v>
      </c>
      <c r="C5" s="9" t="s">
        <v>120</v>
      </c>
      <c r="D5" s="17">
        <v>97000</v>
      </c>
      <c r="E5" s="10" t="s">
        <v>121</v>
      </c>
      <c r="F5" s="17">
        <v>185000</v>
      </c>
      <c r="G5" s="21">
        <v>6</v>
      </c>
      <c r="H5" s="19">
        <f t="shared" ref="H5:H7" si="0">F5-D5</f>
        <v>88000</v>
      </c>
    </row>
    <row r="6" spans="1:10" ht="14.25" customHeight="1" x14ac:dyDescent="0.25">
      <c r="A6" s="9" t="s">
        <v>122</v>
      </c>
      <c r="B6" s="9">
        <v>6632889</v>
      </c>
      <c r="C6" s="9" t="s">
        <v>123</v>
      </c>
      <c r="D6" s="17"/>
      <c r="E6" s="10"/>
      <c r="F6" s="17"/>
      <c r="G6" s="21">
        <v>2</v>
      </c>
      <c r="H6" s="19">
        <f t="shared" si="0"/>
        <v>0</v>
      </c>
    </row>
    <row r="7" spans="1:10" ht="14.25" customHeight="1" x14ac:dyDescent="0.25">
      <c r="A7" s="9" t="s">
        <v>151</v>
      </c>
      <c r="B7" s="9">
        <v>6632890</v>
      </c>
      <c r="C7" s="9" t="s">
        <v>149</v>
      </c>
      <c r="D7" s="17">
        <v>21000</v>
      </c>
      <c r="E7" s="10" t="s">
        <v>150</v>
      </c>
      <c r="F7" s="17">
        <v>45000</v>
      </c>
      <c r="G7" s="21">
        <v>4</v>
      </c>
      <c r="H7" s="19">
        <f t="shared" si="0"/>
        <v>24000</v>
      </c>
    </row>
    <row r="8" spans="1:10" ht="14.25" customHeight="1" x14ac:dyDescent="0.25">
      <c r="A8" s="9"/>
      <c r="B8" s="9"/>
      <c r="C8" s="9"/>
      <c r="D8" s="17"/>
      <c r="E8" s="10"/>
      <c r="F8" s="17"/>
      <c r="G8" s="21"/>
    </row>
    <row r="9" spans="1:10" ht="14.25" customHeight="1" x14ac:dyDescent="0.25">
      <c r="A9" s="9"/>
      <c r="B9" s="9"/>
      <c r="C9" s="9"/>
      <c r="D9" s="17"/>
      <c r="E9" s="10"/>
      <c r="F9" s="17"/>
      <c r="G9" s="21"/>
    </row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" type="noConversion"/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pane ySplit="3" topLeftCell="A4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40.140625" customWidth="1"/>
    <col min="4" max="4" width="16.5703125" style="19" customWidth="1"/>
    <col min="5" max="5" width="12.28515625" customWidth="1"/>
    <col min="6" max="6" width="16.5703125" style="19" customWidth="1"/>
    <col min="7" max="7" width="9.7109375" style="20" bestFit="1" customWidth="1"/>
    <col min="8" max="8" width="13.28515625" customWidth="1"/>
    <col min="9" max="10" width="8.7109375" customWidth="1"/>
  </cols>
  <sheetData>
    <row r="1" spans="1:10" ht="14.25" customHeight="1" x14ac:dyDescent="0.25">
      <c r="B1" s="1"/>
      <c r="C1" s="2" t="s">
        <v>124</v>
      </c>
      <c r="D1" s="15"/>
      <c r="E1" s="3"/>
      <c r="F1" s="15"/>
    </row>
    <row r="2" spans="1:10" ht="14.25" customHeight="1" x14ac:dyDescent="0.25">
      <c r="B2" s="1"/>
      <c r="D2" s="15"/>
      <c r="E2" s="3"/>
      <c r="F2" s="15"/>
      <c r="J2" s="4"/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16" t="s">
        <v>4</v>
      </c>
      <c r="E3" s="7" t="s">
        <v>5</v>
      </c>
      <c r="F3" s="16" t="s">
        <v>6</v>
      </c>
      <c r="G3" s="5" t="s">
        <v>7</v>
      </c>
      <c r="J3" s="8"/>
    </row>
    <row r="4" spans="1:10" ht="14.25" customHeight="1" x14ac:dyDescent="0.25">
      <c r="A4" s="9" t="s">
        <v>125</v>
      </c>
      <c r="B4" s="9">
        <v>7767328</v>
      </c>
      <c r="C4" s="9" t="s">
        <v>126</v>
      </c>
      <c r="D4" s="17">
        <v>30000</v>
      </c>
      <c r="E4" s="10" t="s">
        <v>127</v>
      </c>
      <c r="F4" s="17">
        <v>65000</v>
      </c>
      <c r="G4" s="21">
        <v>4</v>
      </c>
      <c r="H4" s="19">
        <f>F4-D4</f>
        <v>35000</v>
      </c>
    </row>
    <row r="5" spans="1:10" ht="14.25" customHeight="1" x14ac:dyDescent="0.25">
      <c r="A5" s="9" t="s">
        <v>128</v>
      </c>
      <c r="B5" s="9">
        <v>7767329</v>
      </c>
      <c r="C5" s="9" t="s">
        <v>129</v>
      </c>
      <c r="D5" s="17">
        <v>39000</v>
      </c>
      <c r="E5" s="10" t="s">
        <v>130</v>
      </c>
      <c r="F5" s="17">
        <v>65000</v>
      </c>
      <c r="G5" s="21">
        <v>4</v>
      </c>
      <c r="H5" s="19">
        <f t="shared" ref="H5:H7" si="0">F5-D5</f>
        <v>26000</v>
      </c>
    </row>
    <row r="6" spans="1:10" ht="14.25" customHeight="1" x14ac:dyDescent="0.25">
      <c r="A6" s="9" t="s">
        <v>131</v>
      </c>
      <c r="B6" s="9">
        <v>7767330</v>
      </c>
      <c r="C6" s="9" t="s">
        <v>132</v>
      </c>
      <c r="D6" s="17">
        <v>105000</v>
      </c>
      <c r="E6" s="10" t="s">
        <v>133</v>
      </c>
      <c r="F6" s="17">
        <v>175000</v>
      </c>
      <c r="G6" s="21">
        <v>2</v>
      </c>
      <c r="H6" s="19">
        <f t="shared" si="0"/>
        <v>70000</v>
      </c>
    </row>
    <row r="7" spans="1:10" ht="14.25" customHeight="1" x14ac:dyDescent="0.25">
      <c r="A7" s="9" t="s">
        <v>136</v>
      </c>
      <c r="B7" s="9">
        <v>7767331</v>
      </c>
      <c r="C7" s="9" t="s">
        <v>134</v>
      </c>
      <c r="D7" s="17">
        <v>71500</v>
      </c>
      <c r="E7" s="10" t="s">
        <v>135</v>
      </c>
      <c r="F7" s="17">
        <v>165000</v>
      </c>
      <c r="G7" s="21">
        <v>12</v>
      </c>
      <c r="H7" s="19">
        <f t="shared" si="0"/>
        <v>93500</v>
      </c>
    </row>
    <row r="8" spans="1:10" ht="14.25" customHeight="1" x14ac:dyDescent="0.25">
      <c r="A8" s="9"/>
      <c r="B8" s="9"/>
      <c r="C8" s="9"/>
      <c r="D8" s="17"/>
      <c r="E8" s="10"/>
      <c r="F8" s="17"/>
      <c r="G8" s="21"/>
    </row>
    <row r="9" spans="1:10" ht="14.25" customHeight="1" x14ac:dyDescent="0.25">
      <c r="A9" s="9"/>
      <c r="B9" s="9"/>
      <c r="C9" s="9"/>
      <c r="D9" s="17"/>
      <c r="E9" s="10"/>
      <c r="F9" s="17"/>
      <c r="G9" s="21"/>
    </row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" type="noConversion"/>
  <conditionalFormatting sqref="B1:B1048576">
    <cfRule type="duplicateValues" dxfId="0" priority="1"/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Kayu</vt:lpstr>
      <vt:lpstr>Pruning</vt:lpstr>
      <vt:lpstr>Set</vt:lpstr>
      <vt:lpstr>Besi</vt:lpstr>
      <vt:lpstr>Bata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2026-04-21T05:50:30Z</dcterms:modified>
</cp:coreProperties>
</file>