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46C84A93-615B-4E8C-B405-43360B16FEEE}" xr6:coauthVersionLast="47" xr6:coauthVersionMax="47" xr10:uidLastSave="{00000000-0000-0000-0000-000000000000}"/>
  <bookViews>
    <workbookView xWindow="-120" yWindow="-120" windowWidth="29040" windowHeight="15840" xr2:uid="{E3359E0B-5887-43B6-93DB-A372F83D1E62}"/>
  </bookViews>
  <sheets>
    <sheet name="Serabu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4" l="1"/>
  <c r="M6" i="4"/>
  <c r="M7" i="4"/>
  <c r="M8" i="4"/>
  <c r="M9" i="4"/>
  <c r="M10" i="4"/>
  <c r="M11" i="4"/>
  <c r="M12" i="4"/>
  <c r="M13" i="4"/>
  <c r="M14" i="4"/>
  <c r="M15" i="4"/>
  <c r="H5" i="4"/>
  <c r="H6" i="4"/>
  <c r="H7" i="4"/>
  <c r="H8" i="4"/>
  <c r="H9" i="4"/>
  <c r="H10" i="4"/>
  <c r="H11" i="4"/>
  <c r="H12" i="4"/>
  <c r="H13" i="4"/>
  <c r="H14" i="4"/>
  <c r="H15" i="4"/>
  <c r="M4" i="4"/>
  <c r="H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CD07CC3C-F238-4ADC-8468-73B4EE6D7C31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<sst xmlns="http://schemas.openxmlformats.org/spreadsheetml/2006/main" count="47" uniqueCount="33">
  <si>
    <t>Kode Item</t>
  </si>
  <si>
    <t>Barcode</t>
  </si>
  <si>
    <t>Nama Item</t>
  </si>
  <si>
    <t>Harga Pokok (Rol)</t>
  </si>
  <si>
    <t>Harga Jual (Rol)</t>
  </si>
  <si>
    <t>Harga Pokok (M)</t>
  </si>
  <si>
    <t>Harga Jual (M)</t>
  </si>
  <si>
    <t>Kode Barang (Rol)</t>
  </si>
  <si>
    <t>Kode Barang (M)</t>
  </si>
  <si>
    <t>Stok</t>
  </si>
  <si>
    <t>KABEL MOBIL</t>
  </si>
  <si>
    <t>RSZ-MJ</t>
  </si>
  <si>
    <t>RS-MJ</t>
  </si>
  <si>
    <t>Kabel Mobil Gold 0,85x100m</t>
  </si>
  <si>
    <t>SWRQ-RJU</t>
  </si>
  <si>
    <t>Cable Wilson AVSS 0.85 Black 100m</t>
  </si>
  <si>
    <t>Cable Wilson AVSS 0.85 Red 100m</t>
  </si>
  <si>
    <t>Cable Wilson AVSS 0.3 Blue 100m</t>
  </si>
  <si>
    <t>Cable Wilson AVSS 0.3 Red 100m</t>
  </si>
  <si>
    <t>Cable Wilson AVSS 0.3 Yellow 100m</t>
  </si>
  <si>
    <t>Cable Wilson AVSS 0.3 Black 100m</t>
  </si>
  <si>
    <t>Cable Wilson AVSS 0.5 Black 100m</t>
  </si>
  <si>
    <t>Cable Wilson AVSS 0.5 Red 100m</t>
  </si>
  <si>
    <t>Cable Wilson AVSS 0.5 Yellow 100m</t>
  </si>
  <si>
    <t>Cable Wilson AVSS 1.25 Black 100m</t>
  </si>
  <si>
    <t>Cable Wilson AVSS 1.25 Red 100m</t>
  </si>
  <si>
    <t>QWR-RJU</t>
  </si>
  <si>
    <t>RTVU-RJU</t>
  </si>
  <si>
    <t>UTZ-RJU</t>
  </si>
  <si>
    <t>SW-RJU</t>
  </si>
  <si>
    <t>QW-RJU</t>
  </si>
  <si>
    <t>RTV-RJU</t>
  </si>
  <si>
    <t>UT-RJU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</si>
</sst>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1B50-FC15-4D0F-BD65-2C8E59394443}">
  <dimension ref="A1:N1048513"/>
  <sheetViews>
    <sheetView tabSelected="1" workbookViewId="0">
      <pane ySplit="3" topLeftCell="A4" activePane="bottomLeft" state="frozen"/>
      <selection pane="bottomLeft" activeCell="J3" sqref="J3:L20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7.140625" style="12" customWidth="1"/>
    <col min="5" max="5" width="16.85546875" customWidth="1"/>
    <col min="6" max="6" width="15.85546875" style="12" customWidth="1"/>
    <col min="7" max="7" width="9.140625" style="17" customWidth="1"/>
    <col min="8" max="8" width="16.7109375" style="18" customWidth="1"/>
    <col min="9" max="9" width="5.42578125" customWidth="1"/>
    <col min="10" max="10" width="17" style="12" customWidth="1"/>
    <col min="11" max="11" width="15.85546875" style="3" bestFit="1" customWidth="1"/>
    <col min="12" max="12" width="14.7109375" style="12" customWidth="1"/>
    <col min="13" max="13" width="17.85546875" style="12" customWidth="1"/>
    <col min="14" max="14" width="12.42578125" customWidth="1"/>
  </cols>
  <sheetData>
    <row r="1" spans="1:14" x14ac:dyDescent="0.25">
      <c r="C1" s="2" t="s">
        <v>10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3" t="s">
        <v>3</v>
      </c>
      <c r="E3" s="5" t="s">
        <v>7</v>
      </c>
      <c r="F3" s="13" t="s">
        <v>4</v>
      </c>
      <c r="G3" s="5" t="s">
        <v>9</v>
      </c>
      <c r="H3" s="19"/>
      <c r="J3" s="15" t="s">
        <v>5</v>
      </c>
      <c r="K3" s="11" t="s">
        <v>8</v>
      </c>
      <c r="L3" s="15" t="s">
        <v>6</v>
      </c>
      <c r="N3" s="7"/>
    </row>
    <row r="4" spans="1:14" x14ac:dyDescent="0.25">
      <c r="A4" s="8"/>
      <c r="B4" s="9"/>
      <c r="C4" s="20" t="s">
        <v>13</v>
      </c>
      <c r="D4" s="14">
        <v>230000</v>
      </c>
      <c r="E4" s="8" t="s">
        <v>11</v>
      </c>
      <c r="F4" s="14">
        <v>285000</v>
      </c>
      <c r="G4" s="16">
        <v>1</v>
      </c>
      <c r="H4" s="18">
        <f>F4-D4</f>
        <v>55000</v>
      </c>
      <c r="J4" s="14">
        <v>2300</v>
      </c>
      <c r="K4" s="10" t="s">
        <v>12</v>
      </c>
      <c r="L4" s="14">
        <v>7000</v>
      </c>
      <c r="M4" s="12">
        <f>L4-J4</f>
        <v>4700</v>
      </c>
    </row>
    <row r="5" spans="1:14" x14ac:dyDescent="0.25">
      <c r="A5" s="8"/>
      <c r="B5" s="9"/>
      <c r="C5" s="20" t="s">
        <v>15</v>
      </c>
      <c r="D5" s="14">
        <v>372100</v>
      </c>
      <c r="E5" s="8" t="s">
        <v>14</v>
      </c>
      <c r="F5" s="14">
        <v>425000</v>
      </c>
      <c r="G5" s="16">
        <v>1</v>
      </c>
      <c r="H5" s="18">
        <f t="shared" ref="H5:H15" si="0">F5-D5</f>
        <v>52900</v>
      </c>
      <c r="J5" s="14">
        <v>3700</v>
      </c>
      <c r="K5" s="10" t="s">
        <v>29</v>
      </c>
      <c r="L5" s="14">
        <v>9000</v>
      </c>
      <c r="M5" s="12">
        <f t="shared" ref="M5:M15" si="1">L5-J5</f>
        <v>5300</v>
      </c>
    </row>
    <row r="6" spans="1:14" x14ac:dyDescent="0.25">
      <c r="A6" s="8"/>
      <c r="B6" s="9"/>
      <c r="C6" s="20" t="s">
        <v>16</v>
      </c>
      <c r="D6" s="14">
        <v>372100</v>
      </c>
      <c r="E6" s="8" t="s">
        <v>14</v>
      </c>
      <c r="F6" s="14">
        <v>425000</v>
      </c>
      <c r="G6" s="16">
        <v>1</v>
      </c>
      <c r="H6" s="18">
        <f t="shared" si="0"/>
        <v>52900</v>
      </c>
      <c r="J6" s="14">
        <v>3700</v>
      </c>
      <c r="K6" s="10" t="s">
        <v>29</v>
      </c>
      <c r="L6" s="14">
        <v>9000</v>
      </c>
      <c r="M6" s="12">
        <f t="shared" si="1"/>
        <v>5300</v>
      </c>
    </row>
    <row r="7" spans="1:14" x14ac:dyDescent="0.25">
      <c r="A7" s="8"/>
      <c r="B7" s="9"/>
      <c r="C7" s="21" t="s">
        <v>17</v>
      </c>
      <c r="D7" s="14">
        <v>172000</v>
      </c>
      <c r="E7" s="8" t="s">
        <v>26</v>
      </c>
      <c r="F7" s="14">
        <v>250000</v>
      </c>
      <c r="G7" s="16">
        <v>1</v>
      </c>
      <c r="H7" s="18">
        <f t="shared" si="0"/>
        <v>78000</v>
      </c>
      <c r="J7" s="14">
        <v>1700</v>
      </c>
      <c r="K7" s="10" t="s">
        <v>30</v>
      </c>
      <c r="L7" s="14">
        <v>6000</v>
      </c>
      <c r="M7" s="12">
        <f t="shared" si="1"/>
        <v>4300</v>
      </c>
    </row>
    <row r="8" spans="1:14" x14ac:dyDescent="0.25">
      <c r="A8" s="8"/>
      <c r="B8" s="9"/>
      <c r="C8" s="21" t="s">
        <v>18</v>
      </c>
      <c r="D8" s="14">
        <v>172000</v>
      </c>
      <c r="E8" s="8" t="s">
        <v>26</v>
      </c>
      <c r="F8" s="14">
        <v>250000</v>
      </c>
      <c r="G8" s="16">
        <v>1</v>
      </c>
      <c r="H8" s="18">
        <f t="shared" si="0"/>
        <v>78000</v>
      </c>
      <c r="J8" s="14">
        <v>1700</v>
      </c>
      <c r="K8" s="10" t="s">
        <v>30</v>
      </c>
      <c r="L8" s="14">
        <v>6000</v>
      </c>
      <c r="M8" s="12">
        <f t="shared" si="1"/>
        <v>4300</v>
      </c>
    </row>
    <row r="9" spans="1:14" x14ac:dyDescent="0.25">
      <c r="A9" s="8"/>
      <c r="B9" s="9"/>
      <c r="C9" s="21" t="s">
        <v>19</v>
      </c>
      <c r="D9" s="14">
        <v>172000</v>
      </c>
      <c r="E9" s="8" t="s">
        <v>26</v>
      </c>
      <c r="F9" s="14">
        <v>250000</v>
      </c>
      <c r="G9" s="16">
        <v>1</v>
      </c>
      <c r="H9" s="18">
        <f t="shared" si="0"/>
        <v>78000</v>
      </c>
      <c r="J9" s="14">
        <v>1700</v>
      </c>
      <c r="K9" s="10" t="s">
        <v>30</v>
      </c>
      <c r="L9" s="14">
        <v>6000</v>
      </c>
      <c r="M9" s="12">
        <f t="shared" si="1"/>
        <v>4300</v>
      </c>
    </row>
    <row r="10" spans="1:14" x14ac:dyDescent="0.25">
      <c r="A10" s="8"/>
      <c r="B10" s="9"/>
      <c r="C10" s="21" t="s">
        <v>20</v>
      </c>
      <c r="D10" s="14">
        <v>172000</v>
      </c>
      <c r="E10" s="8" t="s">
        <v>26</v>
      </c>
      <c r="F10" s="14">
        <v>250000</v>
      </c>
      <c r="G10" s="16">
        <v>1</v>
      </c>
      <c r="H10" s="18">
        <f t="shared" si="0"/>
        <v>78000</v>
      </c>
      <c r="J10" s="14">
        <v>1700</v>
      </c>
      <c r="K10" s="10" t="s">
        <v>30</v>
      </c>
      <c r="L10" s="14">
        <v>6000</v>
      </c>
      <c r="M10" s="12">
        <f t="shared" si="1"/>
        <v>4300</v>
      </c>
    </row>
    <row r="11" spans="1:14" x14ac:dyDescent="0.25">
      <c r="A11" s="8"/>
      <c r="B11" s="9"/>
      <c r="C11" s="22" t="s">
        <v>21</v>
      </c>
      <c r="D11" s="14">
        <v>246500</v>
      </c>
      <c r="E11" s="8" t="s">
        <v>27</v>
      </c>
      <c r="F11" s="14">
        <v>300000</v>
      </c>
      <c r="G11" s="16">
        <v>1</v>
      </c>
      <c r="H11" s="18">
        <f t="shared" si="0"/>
        <v>53500</v>
      </c>
      <c r="J11" s="14">
        <v>2460</v>
      </c>
      <c r="K11" s="10" t="s">
        <v>31</v>
      </c>
      <c r="L11" s="14">
        <v>7000</v>
      </c>
      <c r="M11" s="12">
        <f t="shared" si="1"/>
        <v>4540</v>
      </c>
    </row>
    <row r="12" spans="1:14" x14ac:dyDescent="0.25">
      <c r="A12" s="8"/>
      <c r="B12" s="9"/>
      <c r="C12" s="22" t="s">
        <v>22</v>
      </c>
      <c r="D12" s="14">
        <v>246500</v>
      </c>
      <c r="E12" s="8" t="s">
        <v>27</v>
      </c>
      <c r="F12" s="14">
        <v>300000</v>
      </c>
      <c r="G12" s="16">
        <v>1</v>
      </c>
      <c r="H12" s="18">
        <f t="shared" si="0"/>
        <v>53500</v>
      </c>
      <c r="J12" s="14">
        <v>2460</v>
      </c>
      <c r="K12" s="10" t="s">
        <v>31</v>
      </c>
      <c r="L12" s="14">
        <v>7000</v>
      </c>
      <c r="M12" s="12">
        <f t="shared" si="1"/>
        <v>4540</v>
      </c>
    </row>
    <row r="13" spans="1:14" x14ac:dyDescent="0.25">
      <c r="A13" s="8"/>
      <c r="B13" s="9"/>
      <c r="C13" s="22" t="s">
        <v>23</v>
      </c>
      <c r="D13" s="14">
        <v>246500</v>
      </c>
      <c r="E13" s="8" t="s">
        <v>27</v>
      </c>
      <c r="F13" s="14">
        <v>300000</v>
      </c>
      <c r="G13" s="16">
        <v>1</v>
      </c>
      <c r="H13" s="18">
        <f t="shared" si="0"/>
        <v>53500</v>
      </c>
      <c r="J13" s="14">
        <v>2460</v>
      </c>
      <c r="K13" s="10" t="s">
        <v>31</v>
      </c>
      <c r="L13" s="14">
        <v>7000</v>
      </c>
      <c r="M13" s="12">
        <f t="shared" si="1"/>
        <v>4540</v>
      </c>
    </row>
    <row r="14" spans="1:14" x14ac:dyDescent="0.25">
      <c r="A14" s="8"/>
      <c r="B14" s="9"/>
      <c r="C14" s="23" t="s">
        <v>24</v>
      </c>
      <c r="D14" s="14">
        <v>540000</v>
      </c>
      <c r="E14" s="8" t="s">
        <v>28</v>
      </c>
      <c r="F14" s="14">
        <v>595000</v>
      </c>
      <c r="G14" s="16">
        <v>1</v>
      </c>
      <c r="H14" s="18">
        <f t="shared" si="0"/>
        <v>55000</v>
      </c>
      <c r="J14" s="14">
        <v>5400</v>
      </c>
      <c r="K14" s="10" t="s">
        <v>32</v>
      </c>
      <c r="L14" s="14">
        <v>10000</v>
      </c>
      <c r="M14" s="12">
        <f t="shared" si="1"/>
        <v>4600</v>
      </c>
    </row>
    <row r="15" spans="1:14" x14ac:dyDescent="0.25">
      <c r="A15" s="8"/>
      <c r="B15" s="9"/>
      <c r="C15" s="23" t="s">
        <v>25</v>
      </c>
      <c r="D15" s="14">
        <v>540000</v>
      </c>
      <c r="E15" s="8" t="s">
        <v>28</v>
      </c>
      <c r="F15" s="14">
        <v>595000</v>
      </c>
      <c r="G15" s="16">
        <v>1</v>
      </c>
      <c r="H15" s="18">
        <f t="shared" si="0"/>
        <v>55000</v>
      </c>
      <c r="J15" s="14">
        <v>5400</v>
      </c>
      <c r="K15" s="10" t="s">
        <v>32</v>
      </c>
      <c r="L15" s="14">
        <v>10000</v>
      </c>
      <c r="M15" s="12">
        <f t="shared" si="1"/>
        <v>4600</v>
      </c>
    </row>
    <row r="16" spans="1:14" x14ac:dyDescent="0.25">
      <c r="A16" s="8"/>
      <c r="B16" s="9"/>
      <c r="C16" s="8"/>
      <c r="D16" s="14"/>
      <c r="E16" s="8"/>
      <c r="F16" s="14"/>
      <c r="G16" s="16"/>
      <c r="J16" s="14"/>
      <c r="K16" s="10"/>
      <c r="L16" s="14"/>
    </row>
    <row r="17" spans="1:12" x14ac:dyDescent="0.25">
      <c r="A17" s="8"/>
      <c r="B17" s="9"/>
      <c r="C17" s="8"/>
      <c r="D17" s="14"/>
      <c r="E17" s="8"/>
      <c r="F17" s="14"/>
      <c r="G17" s="16"/>
      <c r="J17" s="14"/>
      <c r="K17" s="10"/>
      <c r="L17" s="14"/>
    </row>
    <row r="18" spans="1:12" x14ac:dyDescent="0.25">
      <c r="A18" s="8"/>
      <c r="B18" s="9"/>
      <c r="C18" s="8"/>
      <c r="D18" s="14"/>
      <c r="E18" s="8"/>
      <c r="F18" s="14"/>
      <c r="G18" s="16"/>
      <c r="J18" s="14"/>
      <c r="K18" s="10"/>
      <c r="L18" s="14"/>
    </row>
    <row r="19" spans="1:12" x14ac:dyDescent="0.25">
      <c r="A19" s="8"/>
      <c r="B19" s="9"/>
      <c r="C19" s="8"/>
      <c r="D19" s="14"/>
      <c r="E19" s="8"/>
      <c r="F19" s="14"/>
      <c r="G19" s="16"/>
      <c r="J19" s="14"/>
      <c r="K19" s="10"/>
      <c r="L19" s="14"/>
    </row>
    <row r="20" spans="1:12" x14ac:dyDescent="0.25">
      <c r="A20" s="8"/>
      <c r="B20" s="9"/>
      <c r="C20" s="8"/>
      <c r="D20" s="14"/>
      <c r="E20" s="8"/>
      <c r="F20" s="14"/>
      <c r="G20" s="16"/>
      <c r="J20" s="14"/>
      <c r="K20" s="10"/>
      <c r="L20" s="14"/>
    </row>
    <row r="1048513" spans="1:14" s="12" customFormat="1" x14ac:dyDescent="0.25">
      <c r="A1048513"/>
      <c r="B1048513" s="1"/>
      <c r="C1048513"/>
      <c r="E1048513"/>
      <c r="F1048513" s="14"/>
      <c r="G1048513" s="17"/>
      <c r="H1048513" s="18"/>
      <c r="I1048513"/>
      <c r="K1048513" s="3"/>
      <c r="N1048513"/>
    </row>
  </sheetData>
  <phoneticPr fontId="4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Serabut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2025-09-27T01:33:24Z</dcterms:created>
  <dcterms:modified xsi:type="dcterms:W3CDTF">2026-05-17T05:53:55Z</dcterms:modified>
</cp:coreProperties>
</file>