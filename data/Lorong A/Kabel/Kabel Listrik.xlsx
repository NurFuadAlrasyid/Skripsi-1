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98FE1CF5-9D69-488D-B06F-AD9C56A9B766}" xr6:coauthVersionLast="47" xr6:coauthVersionMax="47" xr10:uidLastSave="{00000000-0000-0000-0000-000000000000}"/>
  <bookViews>
    <workbookView xWindow="-120" yWindow="-120" windowWidth="29040" windowHeight="15840" activeTab="4" xr2:uid="{E3359E0B-5887-43B6-93DB-A372F83D1E62}"/>
  </bookViews>
  <sheets>
    <sheet name="Serabut" sheetId="4" r:id="rId1"/>
    <sheet name="Nya 50" sheetId="2" r:id="rId2"/>
    <sheet name="Nya 100" sheetId="8" r:id="rId3"/>
    <sheet name="Nym 50" sheetId="7" r:id="rId4"/>
    <sheet name="Nym 100" sheetId="3" r:id="rId5"/>
    <sheet name="TV" sheetId="5" r:id="rId6"/>
    <sheet name="S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3" l="1"/>
  <c r="H25" i="3"/>
  <c r="H5" i="6"/>
  <c r="H4" i="6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4" i="3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M2" authorId="0" shapeId="0" xr:uid="{CD07CC3C-F238-4ADC-8468-73B4EE6D7C31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2068DDFA-EDA9-4AAD-A500-1822420FA3F3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03995809-A093-4E42-BF79-36A2895E70A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8CBFBC7C-FCEB-42FE-86F7-E1799C3EB97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2CF3591B-0CC3-4552-B6E5-0EEFC6EEA435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0797AE82-8987-41FD-A04A-620892305A7D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M2" authorId="0" shapeId="0" xr:uid="{CD9CDE5A-41E2-4B41-A1FF-359EA65C8CC3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<sst xmlns="http://schemas.openxmlformats.org/spreadsheetml/2006/main" count="318" uniqueCount="204">
  <si>
    <t>Kode Item</t>
  </si>
  <si>
    <t>Barcode</t>
  </si>
  <si>
    <t>Nama Item</t>
  </si>
  <si>
    <t>Harga Pokok (Rol)</t>
  </si>
  <si>
    <t>Harga Jual (Rol)</t>
  </si>
  <si>
    <t>Harga Pokok (M)</t>
  </si>
  <si>
    <t>Kode Harga (M)</t>
  </si>
  <si>
    <t>Harga Jual (M)</t>
  </si>
  <si>
    <t>USVZ-TAR</t>
  </si>
  <si>
    <t>USV-M</t>
  </si>
  <si>
    <t>SSQR-TAR</t>
  </si>
  <si>
    <t>SS</t>
  </si>
  <si>
    <t>RVX-TAR</t>
  </si>
  <si>
    <t>QVUV-TAR</t>
  </si>
  <si>
    <t>SUZ</t>
  </si>
  <si>
    <t>RRZ</t>
  </si>
  <si>
    <t>TSVX</t>
  </si>
  <si>
    <t>RWSZ</t>
  </si>
  <si>
    <t>RWS</t>
  </si>
  <si>
    <t>TWV</t>
  </si>
  <si>
    <t>RSX</t>
  </si>
  <si>
    <t>SZRZ</t>
  </si>
  <si>
    <t>SZR</t>
  </si>
  <si>
    <t>QUQ</t>
  </si>
  <si>
    <t>UZU</t>
  </si>
  <si>
    <t>SQUZ</t>
  </si>
  <si>
    <t>SQU</t>
  </si>
  <si>
    <t>QUWU</t>
  </si>
  <si>
    <t>RURU</t>
  </si>
  <si>
    <t>QUZ-MS/VS</t>
  </si>
  <si>
    <t>SRXU-FNS</t>
  </si>
  <si>
    <t>SVV</t>
  </si>
  <si>
    <t>RRU-FNS</t>
  </si>
  <si>
    <t>RU</t>
  </si>
  <si>
    <t>QWZ-FNS</t>
  </si>
  <si>
    <t>SQX-DT</t>
  </si>
  <si>
    <t>XWT-TRB</t>
  </si>
  <si>
    <t>QWTX</t>
  </si>
  <si>
    <t>VZV-TAR</t>
  </si>
  <si>
    <t>WXW-TRB</t>
  </si>
  <si>
    <t>QWWT</t>
  </si>
  <si>
    <t>UXWU</t>
  </si>
  <si>
    <t>UQQ</t>
  </si>
  <si>
    <t>TTU-AJ</t>
  </si>
  <si>
    <t>TQU</t>
  </si>
  <si>
    <t>RVU-MS</t>
  </si>
  <si>
    <t>SUQ-AS</t>
  </si>
  <si>
    <t>SYU</t>
  </si>
  <si>
    <t>UUZ-AS</t>
  </si>
  <si>
    <t>TZZ</t>
  </si>
  <si>
    <t>UTZ</t>
  </si>
  <si>
    <t>VQVU-PSA</t>
  </si>
  <si>
    <t>QRZZ-MR</t>
  </si>
  <si>
    <t>QQWU</t>
  </si>
  <si>
    <t>QRZ</t>
  </si>
  <si>
    <t>QQWZ</t>
  </si>
  <si>
    <t>QZQY</t>
  </si>
  <si>
    <t>QQS</t>
  </si>
  <si>
    <t>XRQS-AS</t>
  </si>
  <si>
    <t>YVZ</t>
  </si>
  <si>
    <t>WUZ</t>
  </si>
  <si>
    <t>QRQR-TAF</t>
  </si>
  <si>
    <t>QWTXZ-TAF</t>
  </si>
  <si>
    <t>QR</t>
  </si>
  <si>
    <t>YSZ</t>
  </si>
  <si>
    <t>VVUZ-AS</t>
  </si>
  <si>
    <t>VVU</t>
  </si>
  <si>
    <t>XSZ-MR</t>
  </si>
  <si>
    <t>XS</t>
  </si>
  <si>
    <t>XXZ</t>
  </si>
  <si>
    <t>QSTZ</t>
  </si>
  <si>
    <t>QST</t>
  </si>
  <si>
    <t>WXT-AMP</t>
  </si>
  <si>
    <t>WX</t>
  </si>
  <si>
    <t>VRZ-FRT</t>
  </si>
  <si>
    <t>KABEL SERABUT (NYMHY &amp; NYYHY)</t>
  </si>
  <si>
    <t>TXX-AJ</t>
  </si>
  <si>
    <t>UT-AJ</t>
  </si>
  <si>
    <t>Kabel Trilliun 2 x 2,5 90M</t>
  </si>
  <si>
    <t>Kabel Trilliun 2 x 1,5 90M</t>
  </si>
  <si>
    <t>SYZ-AJ</t>
  </si>
  <si>
    <t>TS-AJ</t>
  </si>
  <si>
    <t>Kabel Trilliun 2 x 0,75 90M</t>
  </si>
  <si>
    <t>RYT-AJ</t>
  </si>
  <si>
    <t>SR-AJ</t>
  </si>
  <si>
    <t>KABEL TV</t>
  </si>
  <si>
    <t>Kabel Matrix RG 6 93%</t>
  </si>
  <si>
    <t>matrix</t>
  </si>
  <si>
    <t>KABEL SR</t>
  </si>
  <si>
    <t>Kabel SR Jembo 2x10MM 1000M</t>
  </si>
  <si>
    <t>Kabel SR Jembo 2x10MM 500M</t>
  </si>
  <si>
    <t>UY-Jembo</t>
  </si>
  <si>
    <t>srjembo1</t>
  </si>
  <si>
    <t>srjembo2</t>
  </si>
  <si>
    <t>Kode Barang (Rol)</t>
  </si>
  <si>
    <t>Stok</t>
  </si>
  <si>
    <t>Kabel Visicom NYM 2 x 1,5 50 M</t>
  </si>
  <si>
    <t>Kabel Kokata NYM 2 x 1,5 50 M</t>
  </si>
  <si>
    <t>Kabel Volgen NYM 2 x 1,5 50 M</t>
  </si>
  <si>
    <t>Kabel Pulung NYM 2 x 1,5 50 M</t>
  </si>
  <si>
    <t>Kabel Jembo NYM 2 x 1,5 50 M</t>
  </si>
  <si>
    <t>Kabel Favourite NYM 2 x 1,5 50 M</t>
  </si>
  <si>
    <t>Kabel Visicom NYM 2 x 2,5 50 M</t>
  </si>
  <si>
    <t>Kabel Jembo NYM 2 x 2,5 50 M</t>
  </si>
  <si>
    <t>Kabel Shinco NYM 2 x 2,5 50 M</t>
  </si>
  <si>
    <t>Kabel Visicom NYM 3 x 1,5 50 M</t>
  </si>
  <si>
    <t>Kabel Kenjiro NYM 3 x 1,5 50 M</t>
  </si>
  <si>
    <t>Kabel Eterna NYM 3 x 1,5 50 M</t>
  </si>
  <si>
    <t>Kabel Kenjiro NYM 3 x 2,5 50 M</t>
  </si>
  <si>
    <t>Kabel Interkarindo NYM 3 x 2,5 50 M</t>
  </si>
  <si>
    <t>Kabel Eterna NYM 2 x 1,5 100 M</t>
  </si>
  <si>
    <t>Kabel Jembo NYM 2 x 2,5 100 M</t>
  </si>
  <si>
    <t>Kabel Supreme NYM 2 x 2,5 100 M</t>
  </si>
  <si>
    <t>Kabel Pulung NYM 2 x 2,5 100 M</t>
  </si>
  <si>
    <t>Kabel Shinko NYM 2 x 2,5 100 M</t>
  </si>
  <si>
    <t>Kabel Kenjiro NYM 2 x 2,5 100 M</t>
  </si>
  <si>
    <t>Kabel Extrana NYM 2 x 2,5 100 M</t>
  </si>
  <si>
    <t>Kabel Visicom NYM 2 x 2,5 100 M</t>
  </si>
  <si>
    <t>Kabel Visicom NYM 2 x 1,5 100 M</t>
  </si>
  <si>
    <t>Kabel Jembo NYM 2 x 1,5 100 M</t>
  </si>
  <si>
    <t>Kabel Volgen NYM 2 x 1,5 100 M</t>
  </si>
  <si>
    <t>Kabel Supreme NYM 2 x 1,5 100 M</t>
  </si>
  <si>
    <t>Kabel Multi Kabel NYM 2 x 1,5 100 M</t>
  </si>
  <si>
    <t>Kabel Eterna NYM 2 x 2,5 100 M</t>
  </si>
  <si>
    <t>Kabel Wilson NYM 2 x 1,5 100 M</t>
  </si>
  <si>
    <t>Kabel Interkarindo NYM 2 x 1,5 100 M</t>
  </si>
  <si>
    <t>Kabel Buana NYM 2 x 1,5 100 M</t>
  </si>
  <si>
    <t>Kabel Buana NYM 2 x 2,5 100 M</t>
  </si>
  <si>
    <t>Kabel Shinco NYM 3 x 1,5 45 M</t>
  </si>
  <si>
    <t>Kode Barang (M)</t>
  </si>
  <si>
    <t>KABEL NYM 50 Meter</t>
  </si>
  <si>
    <t>KABEL NYM 100 Meter</t>
  </si>
  <si>
    <t>Kabel Visicom NYA 1 x 2,5 50 M Merah</t>
  </si>
  <si>
    <t>Kabel Visicom NYA 1 x 2,5 50 M Hitam</t>
  </si>
  <si>
    <t>Kabel Visicom NYA 1 x 2,5 50 M Kuning</t>
  </si>
  <si>
    <t>Kabel Visicom NYA 1 x 2,5 50 M Biru</t>
  </si>
  <si>
    <t>Kabel Visicom NYA 1 x 1,5 50 M Merah</t>
  </si>
  <si>
    <t>Kabel Visicom NYA 1 x 1,5 50 M Hitam</t>
  </si>
  <si>
    <t>Kabel Pulung NYA 1 x 2,5 50 M Merah</t>
  </si>
  <si>
    <t>Kabel Pulung NYA 1 x 2,5 50 M Hitam</t>
  </si>
  <si>
    <t>Kabel Pulung NYA 1 x 1,5 50 M Merah</t>
  </si>
  <si>
    <t>Kabel Pulung NYA 1 x 1,5 50 M Hitam</t>
  </si>
  <si>
    <t>Kabel Eterna NYA 1 x 1,5 50 M Hitam</t>
  </si>
  <si>
    <t>Kabel Eterna NYA 1 x 1,5 50 M Merah</t>
  </si>
  <si>
    <t>Kabel Eterna NYA 1 x 1,5 50 M Biru</t>
  </si>
  <si>
    <t>Kabel Eterna NYA 1 x 2,5 50 M Merah</t>
  </si>
  <si>
    <t>Kabel Eterna NYA 1 x 2,5 50 M Biru</t>
  </si>
  <si>
    <t>Kabel Eterna NYA 1 x 2,5 50 M Hitam</t>
  </si>
  <si>
    <t>Kabel Eterna NYA 1 x 2,5 50 M Kuning</t>
  </si>
  <si>
    <t>Kabel Akko NYA 1 x 2,5 50 M Merah</t>
  </si>
  <si>
    <t>Kabel Akko NYA 1 x 2,5 50 M Hitam</t>
  </si>
  <si>
    <t>Kabel Arius NYA 1 x 2,5 50 M Merah</t>
  </si>
  <si>
    <t>Kabel Arius NYA 1 x 2,5 50 M Hitam</t>
  </si>
  <si>
    <t>Kabel Visicom NYA 1 x 2,5 100 M Merah</t>
  </si>
  <si>
    <t>Kabel Visicom NYA 1 x 2,5 100 M Biru</t>
  </si>
  <si>
    <t>Kabel Visicom NYA 1 x 2,5 100 M Hitam</t>
  </si>
  <si>
    <t>Kabel Visicom NYA 1 x 2,5 100 M Kuning</t>
  </si>
  <si>
    <t>Kabel Visicom NYA 1 x 1,5 100 M Merah</t>
  </si>
  <si>
    <t>Kabel Visicom NYA 1 x 1,5 100 M Hitam</t>
  </si>
  <si>
    <t>Kabel Gold NYA 1 x 2,5 100 M Kuning</t>
  </si>
  <si>
    <t>Kabel Gold NYA 1 x 2,5 100 M Merah</t>
  </si>
  <si>
    <t>Kabel Gold NYA 1 x 2,5 100 M Hitam</t>
  </si>
  <si>
    <t>Kabel Gold NYA 1 x 2,5 100 M Biru</t>
  </si>
  <si>
    <t>Kabel Gold NYA 1 x 1,5 100 M Kuning</t>
  </si>
  <si>
    <t>Kabel Gold NYA 1 x 1,5 100 M Merah</t>
  </si>
  <si>
    <t>Kabel Gold NYA 1 x 1,5 100 M Hitam</t>
  </si>
  <si>
    <t>Kabel Jembo NYA 1 x 2,5 100 M Merah</t>
  </si>
  <si>
    <t>Kabel Jembo NYA 1 x 2,5 100 M Hitam</t>
  </si>
  <si>
    <t>Kabel Jembo NYA 1 x 1,5 100 M Merah</t>
  </si>
  <si>
    <t>Kabel Jembo NYA 1 x 1,5 100 M Hitam</t>
  </si>
  <si>
    <t>Kabel Pulung NYA 1 x 2,5 100 M Merah</t>
  </si>
  <si>
    <t>Kabel Pulung NYA 1 x 2,5 100 M Hitam</t>
  </si>
  <si>
    <t>Kabel Pulung NYA 1 x 1,5 100 M Merah</t>
  </si>
  <si>
    <t>Kabel Pulung NYA 1 x 1,5 100 M Hitam</t>
  </si>
  <si>
    <t>Kabel Eterna NYA 1 x 2,5 100 M Merah</t>
  </si>
  <si>
    <t>Kabel Eterna NYA 1 x 2,5 100 M Hitam</t>
  </si>
  <si>
    <t>Kabel Eterna NYA 1 x 2,5 100 M Kuning</t>
  </si>
  <si>
    <t>Kabel Eterna NYA 1 x 2,5 100 M Biru</t>
  </si>
  <si>
    <t>Kabel Eterna NYA 1 x 1,5 100 M Biru</t>
  </si>
  <si>
    <t>Kabel Arius NYA 1 x 2,5 100 M Hitam</t>
  </si>
  <si>
    <t>Kabel Arius NYA 1 x 2,5 100 M Merah</t>
  </si>
  <si>
    <t>Kabel Arius NYA 1 x 2,5 100 M Kuning</t>
  </si>
  <si>
    <t>Kabel Arius NYA 1 x 1,5 100 M Merah</t>
  </si>
  <si>
    <t>Kabel Arius NYA 1 x 1,5 100 M Hitam</t>
  </si>
  <si>
    <t>Kabel Metal NYA 1 x 1,5 100 M Kuning</t>
  </si>
  <si>
    <t>Kabel Metal NYA 1 x 1,5 100 M Hitam</t>
  </si>
  <si>
    <t>Kabel Union NYA 1 x 1,5 100 M Hitam</t>
  </si>
  <si>
    <t>Kabel Prabaya NYA 1 x 2,5 100 M Merah</t>
  </si>
  <si>
    <t>Kabel Prabaya NYA 1 x 2,5 100 M Hitam</t>
  </si>
  <si>
    <t>KABEL NYA 50 Meter</t>
  </si>
  <si>
    <t>KABEL NYA 100 Meter</t>
  </si>
  <si>
    <t>UXZ-MR</t>
  </si>
  <si>
    <t>Kabel NYM Eterna 2 x 1,5 50 M</t>
  </si>
  <si>
    <t>QQUZ-MR</t>
  </si>
  <si>
    <t>QQU-MR</t>
  </si>
  <si>
    <t>Kabel Favourite NYM 2 x 1,5 100  Y</t>
  </si>
  <si>
    <t>VWU-TAR</t>
  </si>
  <si>
    <t>WU-TAR</t>
  </si>
  <si>
    <t>Kabel NYM 2 x 1,5 100y The Flash</t>
  </si>
  <si>
    <t>Kabel NYM 2 x 2,5 100y The Flash</t>
  </si>
  <si>
    <t>SSV-SCE</t>
  </si>
  <si>
    <t>TUV-SCE</t>
  </si>
  <si>
    <t>SW-SCE</t>
  </si>
  <si>
    <t>UZ-SCE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</si>
</sst>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/>
    <xf numFmtId="164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1B50-FC15-4D0F-BD65-2C8E59394443}">
  <dimension ref="A1:M1048506"/>
  <sheetViews>
    <sheetView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7.140625" style="13" customWidth="1"/>
    <col min="5" max="5" width="16.85546875" customWidth="1"/>
    <col min="6" max="6" width="15.85546875" style="13" customWidth="1"/>
    <col min="7" max="7" width="8.5703125" style="18" customWidth="1"/>
    <col min="8" max="8" width="9.140625" style="13"/>
    <col min="10" max="10" width="17" style="13" customWidth="1"/>
    <col min="11" max="11" width="19.42578125" style="3" customWidth="1"/>
    <col min="12" max="12" width="14.7109375" style="13" customWidth="1"/>
    <col min="13" max="13" width="12.42578125" style="13" customWidth="1"/>
  </cols>
  <sheetData>
    <row r="1" spans="1:13" ht="20.100000000000001" customHeight="1" x14ac:dyDescent="0.25">
      <c r="C1" s="21" t="s">
        <v>75</v>
      </c>
      <c r="D1" s="21"/>
      <c r="E1" s="21"/>
    </row>
    <row r="2" spans="1:13" x14ac:dyDescent="0.25">
      <c r="M2" s="19"/>
    </row>
    <row r="3" spans="1:13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16" t="s">
        <v>5</v>
      </c>
      <c r="K3" s="12" t="s">
        <v>129</v>
      </c>
      <c r="L3" s="16" t="s">
        <v>7</v>
      </c>
    </row>
    <row r="4" spans="1:13" x14ac:dyDescent="0.25">
      <c r="A4" s="9"/>
      <c r="B4" s="10">
        <v>598304</v>
      </c>
      <c r="C4" s="9" t="s">
        <v>78</v>
      </c>
      <c r="D4" s="15">
        <v>488000</v>
      </c>
      <c r="E4" s="9" t="s">
        <v>76</v>
      </c>
      <c r="F4" s="15">
        <v>650000</v>
      </c>
      <c r="G4" s="17">
        <v>4</v>
      </c>
      <c r="J4" s="15">
        <v>5400</v>
      </c>
      <c r="K4" s="11" t="s">
        <v>77</v>
      </c>
      <c r="L4" s="15">
        <v>12000</v>
      </c>
    </row>
    <row r="5" spans="1:13" x14ac:dyDescent="0.25">
      <c r="A5" s="9"/>
      <c r="B5" s="10">
        <v>598305</v>
      </c>
      <c r="C5" s="9" t="s">
        <v>79</v>
      </c>
      <c r="D5" s="15">
        <v>390000</v>
      </c>
      <c r="E5" s="9" t="s">
        <v>80</v>
      </c>
      <c r="F5" s="15">
        <v>550000</v>
      </c>
      <c r="G5" s="17">
        <v>4</v>
      </c>
      <c r="J5" s="15">
        <v>4300</v>
      </c>
      <c r="K5" s="11" t="s">
        <v>81</v>
      </c>
      <c r="L5" s="15">
        <v>9000</v>
      </c>
    </row>
    <row r="6" spans="1:13" x14ac:dyDescent="0.25">
      <c r="A6" s="9"/>
      <c r="B6" s="10">
        <v>598306</v>
      </c>
      <c r="C6" s="9" t="s">
        <v>82</v>
      </c>
      <c r="D6" s="15">
        <v>294000</v>
      </c>
      <c r="E6" s="9" t="s">
        <v>83</v>
      </c>
      <c r="F6" s="15">
        <v>450000</v>
      </c>
      <c r="G6" s="17">
        <v>3</v>
      </c>
      <c r="J6" s="15">
        <v>3200</v>
      </c>
      <c r="K6" s="11" t="s">
        <v>84</v>
      </c>
      <c r="L6" s="15">
        <v>8000</v>
      </c>
    </row>
    <row r="7" spans="1:13" x14ac:dyDescent="0.25">
      <c r="A7" s="9"/>
      <c r="B7" s="10"/>
      <c r="C7" s="9"/>
      <c r="D7" s="15"/>
      <c r="E7" s="9"/>
      <c r="F7" s="15"/>
      <c r="G7" s="17"/>
      <c r="J7" s="15"/>
      <c r="K7" s="11"/>
      <c r="L7" s="15"/>
    </row>
    <row r="8" spans="1:13" x14ac:dyDescent="0.25">
      <c r="A8" s="9"/>
      <c r="B8" s="10"/>
      <c r="C8" s="9"/>
      <c r="D8" s="15"/>
      <c r="E8" s="9"/>
      <c r="F8" s="15"/>
      <c r="G8" s="17"/>
      <c r="J8" s="15"/>
      <c r="K8" s="11"/>
      <c r="L8" s="15"/>
    </row>
    <row r="9" spans="1:13" x14ac:dyDescent="0.25">
      <c r="A9" s="9"/>
      <c r="B9" s="10"/>
      <c r="C9" s="9"/>
      <c r="D9" s="15"/>
      <c r="E9" s="9"/>
      <c r="F9" s="15"/>
      <c r="G9" s="17"/>
      <c r="J9" s="15"/>
      <c r="K9" s="11"/>
      <c r="L9" s="15"/>
    </row>
    <row r="10" spans="1:13" x14ac:dyDescent="0.25">
      <c r="A10" s="9"/>
      <c r="B10" s="10"/>
      <c r="C10" s="9"/>
      <c r="D10" s="15"/>
      <c r="E10" s="9"/>
      <c r="F10" s="15"/>
      <c r="G10" s="17"/>
      <c r="J10" s="15"/>
      <c r="K10" s="11"/>
      <c r="L10" s="15"/>
    </row>
    <row r="11" spans="1:13" x14ac:dyDescent="0.25">
      <c r="A11" s="9"/>
      <c r="B11" s="10"/>
      <c r="C11" s="9"/>
      <c r="D11" s="15"/>
      <c r="E11" s="9"/>
      <c r="F11" s="15"/>
      <c r="G11" s="17"/>
      <c r="J11" s="15"/>
      <c r="K11" s="11"/>
      <c r="L11" s="15"/>
    </row>
    <row r="12" spans="1:13" x14ac:dyDescent="0.25">
      <c r="A12" s="9"/>
      <c r="B12" s="10"/>
      <c r="C12" s="9"/>
      <c r="D12" s="15"/>
      <c r="E12" s="9"/>
      <c r="F12" s="15"/>
      <c r="G12" s="17"/>
      <c r="J12" s="15"/>
      <c r="K12" s="11"/>
      <c r="L12" s="15"/>
    </row>
    <row r="13" spans="1:13" x14ac:dyDescent="0.25">
      <c r="A13" s="9"/>
      <c r="B13" s="10"/>
      <c r="C13" s="9"/>
      <c r="D13" s="15"/>
      <c r="E13" s="9"/>
      <c r="F13" s="15"/>
      <c r="G13" s="17"/>
      <c r="J13" s="15"/>
      <c r="K13" s="11"/>
      <c r="L13" s="15"/>
    </row>
    <row r="1048506" spans="1:11" s="13" customFormat="1" x14ac:dyDescent="0.25">
      <c r="A1048506"/>
      <c r="B1048506" s="1"/>
      <c r="C1048506"/>
      <c r="E1048506"/>
      <c r="F1048506" s="15"/>
      <c r="G1048506" s="18"/>
      <c r="I1048506"/>
      <c r="K1048506" s="3"/>
    </row>
  </sheetData>
  <mergeCells count="1">
    <mergeCell ref="C1:E1"/>
  </mergeCells>
  <phoneticPr fontId="4" type="noConversion"/>
  <conditionalFormatting sqref="A3">
    <cfRule type="duplicateValues" dxfId="41" priority="3"/>
    <cfRule type="duplicateValues" dxfId="40" priority="6"/>
  </conditionalFormatting>
  <conditionalFormatting sqref="B2:B3">
    <cfRule type="duplicateValues" dxfId="39" priority="2"/>
  </conditionalFormatting>
  <conditionalFormatting sqref="B3">
    <cfRule type="duplicateValues" dxfId="38" priority="4"/>
    <cfRule type="duplicateValues" dxfId="37" priority="5"/>
  </conditionalFormatting>
  <conditionalFormatting sqref="A1:B1048576">
    <cfRule type="duplicateValues" dxfId="36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B2B0-9E8B-4556-BAA7-D857362CD64C}">
  <dimension ref="A1:N1048523"/>
  <sheetViews>
    <sheetView workbookViewId="0">
      <pane ySplit="3" topLeftCell="A4" activePane="bottomLeft" state="frozen"/>
      <selection pane="bottomLeft" activeCell="C33" sqref="C33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8.85546875" style="13" customWidth="1"/>
    <col min="5" max="5" width="18.28515625" customWidth="1"/>
    <col min="6" max="6" width="16.5703125" style="13" customWidth="1"/>
    <col min="7" max="7" width="9.140625" style="18" bestFit="1" customWidth="1"/>
    <col min="8" max="8" width="15.5703125" style="13" customWidth="1"/>
    <col min="10" max="10" width="19.85546875" style="13" customWidth="1"/>
    <col min="11" max="11" width="15.85546875" style="3" bestFit="1" customWidth="1"/>
    <col min="12" max="12" width="17.140625" style="13" customWidth="1"/>
    <col min="13" max="13" width="15.28515625" style="13" customWidth="1"/>
    <col min="14" max="14" width="12.42578125" customWidth="1"/>
  </cols>
  <sheetData>
    <row r="1" spans="1:14" x14ac:dyDescent="0.25">
      <c r="C1" s="2" t="s">
        <v>189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16" t="s">
        <v>5</v>
      </c>
      <c r="K3" s="12" t="s">
        <v>129</v>
      </c>
      <c r="L3" s="16" t="s">
        <v>7</v>
      </c>
      <c r="N3" s="8"/>
    </row>
    <row r="4" spans="1:14" x14ac:dyDescent="0.25">
      <c r="A4" s="9"/>
      <c r="B4" s="10">
        <v>1045307</v>
      </c>
      <c r="C4" s="9" t="s">
        <v>136</v>
      </c>
      <c r="D4" s="15">
        <v>165600</v>
      </c>
      <c r="E4" s="9" t="s">
        <v>13</v>
      </c>
      <c r="F4" s="15">
        <v>275000</v>
      </c>
      <c r="G4" s="17">
        <v>16</v>
      </c>
      <c r="J4" s="15"/>
      <c r="K4" s="11"/>
      <c r="L4" s="15"/>
    </row>
    <row r="5" spans="1:14" x14ac:dyDescent="0.25">
      <c r="A5" s="9"/>
      <c r="B5" s="10">
        <v>1045306</v>
      </c>
      <c r="C5" s="9" t="s">
        <v>137</v>
      </c>
      <c r="D5" s="15">
        <v>165600</v>
      </c>
      <c r="E5" s="9" t="s">
        <v>13</v>
      </c>
      <c r="F5" s="15">
        <v>275000</v>
      </c>
      <c r="G5" s="17">
        <v>19</v>
      </c>
      <c r="J5" s="15"/>
      <c r="K5" s="11"/>
      <c r="L5" s="15"/>
    </row>
    <row r="6" spans="1:14" x14ac:dyDescent="0.25">
      <c r="A6" s="9"/>
      <c r="B6" s="10">
        <v>1045288</v>
      </c>
      <c r="C6" s="9" t="s">
        <v>140</v>
      </c>
      <c r="D6" s="15">
        <v>151000</v>
      </c>
      <c r="E6" s="9" t="s">
        <v>23</v>
      </c>
      <c r="F6" s="15">
        <v>275000</v>
      </c>
      <c r="G6" s="17">
        <v>3</v>
      </c>
      <c r="J6" s="15"/>
      <c r="K6" s="11"/>
      <c r="L6" s="15"/>
    </row>
    <row r="7" spans="1:14" x14ac:dyDescent="0.25">
      <c r="A7" s="9"/>
      <c r="B7" s="10">
        <v>1045287</v>
      </c>
      <c r="C7" s="9" t="s">
        <v>141</v>
      </c>
      <c r="D7" s="15">
        <v>151000</v>
      </c>
      <c r="E7" s="9" t="s">
        <v>23</v>
      </c>
      <c r="F7" s="15">
        <v>275000</v>
      </c>
      <c r="G7" s="17">
        <v>5</v>
      </c>
      <c r="J7" s="15"/>
      <c r="K7" s="11"/>
      <c r="L7" s="15"/>
    </row>
    <row r="8" spans="1:14" x14ac:dyDescent="0.25">
      <c r="A8" s="9"/>
      <c r="B8" s="10">
        <v>1045278</v>
      </c>
      <c r="C8" s="9" t="s">
        <v>142</v>
      </c>
      <c r="D8" s="15">
        <v>157500</v>
      </c>
      <c r="E8" s="9" t="s">
        <v>27</v>
      </c>
      <c r="F8" s="15">
        <v>275000</v>
      </c>
      <c r="G8" s="17">
        <v>14</v>
      </c>
      <c r="J8" s="15"/>
      <c r="K8" s="11"/>
      <c r="L8" s="15"/>
    </row>
    <row r="9" spans="1:14" x14ac:dyDescent="0.25">
      <c r="A9" s="9"/>
      <c r="B9" s="10">
        <v>1045277</v>
      </c>
      <c r="C9" s="9" t="s">
        <v>143</v>
      </c>
      <c r="D9" s="15">
        <v>157500</v>
      </c>
      <c r="E9" s="9" t="s">
        <v>27</v>
      </c>
      <c r="F9" s="15">
        <v>275000</v>
      </c>
      <c r="G9" s="17">
        <v>12</v>
      </c>
      <c r="J9" s="15"/>
      <c r="K9" s="11"/>
      <c r="L9" s="15"/>
    </row>
    <row r="10" spans="1:14" x14ac:dyDescent="0.25">
      <c r="A10" s="9"/>
      <c r="B10" s="10">
        <v>1045276</v>
      </c>
      <c r="C10" s="9" t="s">
        <v>144</v>
      </c>
      <c r="D10" s="15">
        <v>157500</v>
      </c>
      <c r="E10" s="9" t="s">
        <v>27</v>
      </c>
      <c r="F10" s="15">
        <v>275000</v>
      </c>
      <c r="G10" s="17">
        <v>1</v>
      </c>
      <c r="J10" s="15"/>
      <c r="K10" s="11"/>
      <c r="L10" s="15"/>
    </row>
    <row r="11" spans="1:14" x14ac:dyDescent="0.25">
      <c r="A11" s="9"/>
      <c r="B11" s="10"/>
      <c r="C11" s="9"/>
      <c r="D11" s="15"/>
      <c r="E11" s="9"/>
      <c r="F11" s="15"/>
      <c r="G11" s="17"/>
      <c r="J11" s="15"/>
      <c r="K11" s="11"/>
      <c r="L11" s="15"/>
    </row>
    <row r="12" spans="1:14" x14ac:dyDescent="0.25">
      <c r="A12" s="9"/>
      <c r="B12" s="10">
        <v>1045311</v>
      </c>
      <c r="C12" s="9" t="s">
        <v>132</v>
      </c>
      <c r="D12" s="15">
        <v>268000</v>
      </c>
      <c r="E12" s="9" t="s">
        <v>12</v>
      </c>
      <c r="F12" s="15">
        <v>385000</v>
      </c>
      <c r="G12" s="17">
        <v>2</v>
      </c>
      <c r="J12" s="15"/>
      <c r="K12" s="11"/>
      <c r="L12" s="15"/>
    </row>
    <row r="13" spans="1:14" x14ac:dyDescent="0.25">
      <c r="A13" s="9"/>
      <c r="B13" s="10">
        <v>1045310</v>
      </c>
      <c r="C13" s="9" t="s">
        <v>133</v>
      </c>
      <c r="D13" s="15">
        <v>268000</v>
      </c>
      <c r="E13" s="9" t="s">
        <v>12</v>
      </c>
      <c r="F13" s="15">
        <v>385000</v>
      </c>
      <c r="G13" s="17">
        <v>18</v>
      </c>
      <c r="J13" s="15"/>
      <c r="K13" s="11"/>
      <c r="L13" s="15"/>
    </row>
    <row r="14" spans="1:14" x14ac:dyDescent="0.25">
      <c r="A14" s="9"/>
      <c r="B14" s="10">
        <v>1045309</v>
      </c>
      <c r="C14" s="9" t="s">
        <v>134</v>
      </c>
      <c r="D14" s="15">
        <v>268000</v>
      </c>
      <c r="E14" s="9" t="s">
        <v>12</v>
      </c>
      <c r="F14" s="15">
        <v>385000</v>
      </c>
      <c r="G14" s="17">
        <v>15</v>
      </c>
      <c r="J14" s="15"/>
      <c r="K14" s="11"/>
      <c r="L14" s="15"/>
    </row>
    <row r="15" spans="1:14" x14ac:dyDescent="0.25">
      <c r="A15" s="9"/>
      <c r="B15" s="10">
        <v>1045308</v>
      </c>
      <c r="C15" s="9" t="s">
        <v>135</v>
      </c>
      <c r="D15" s="15">
        <v>268000</v>
      </c>
      <c r="E15" s="9" t="s">
        <v>12</v>
      </c>
      <c r="F15" s="15">
        <v>385000</v>
      </c>
      <c r="G15" s="17">
        <v>5</v>
      </c>
      <c r="J15" s="15"/>
      <c r="K15" s="11"/>
      <c r="L15" s="15"/>
    </row>
    <row r="16" spans="1:14" x14ac:dyDescent="0.25">
      <c r="A16" s="9"/>
      <c r="B16" s="10">
        <v>1045292</v>
      </c>
      <c r="C16" s="9" t="s">
        <v>138</v>
      </c>
      <c r="D16" s="15">
        <v>238000</v>
      </c>
      <c r="E16" s="9" t="s">
        <v>20</v>
      </c>
      <c r="F16" s="15">
        <v>350000</v>
      </c>
      <c r="G16" s="17">
        <v>5</v>
      </c>
      <c r="J16" s="15"/>
      <c r="K16" s="11"/>
      <c r="L16" s="15"/>
    </row>
    <row r="17" spans="1:12" x14ac:dyDescent="0.25">
      <c r="A17" s="9"/>
      <c r="B17" s="10">
        <v>1045291</v>
      </c>
      <c r="C17" s="9" t="s">
        <v>139</v>
      </c>
      <c r="D17" s="15">
        <v>238000</v>
      </c>
      <c r="E17" s="9" t="s">
        <v>20</v>
      </c>
      <c r="F17" s="15">
        <v>350000</v>
      </c>
      <c r="G17" s="17">
        <v>3</v>
      </c>
      <c r="J17" s="15"/>
      <c r="K17" s="11"/>
      <c r="L17" s="15"/>
    </row>
    <row r="18" spans="1:12" x14ac:dyDescent="0.25">
      <c r="A18" s="9"/>
      <c r="B18" s="10">
        <v>1045275</v>
      </c>
      <c r="C18" s="9" t="s">
        <v>145</v>
      </c>
      <c r="D18" s="15">
        <v>252500</v>
      </c>
      <c r="E18" s="9" t="s">
        <v>28</v>
      </c>
      <c r="F18" s="15">
        <v>380000</v>
      </c>
      <c r="G18" s="17">
        <v>8</v>
      </c>
      <c r="J18" s="15"/>
      <c r="K18" s="11"/>
      <c r="L18" s="15"/>
    </row>
    <row r="19" spans="1:12" x14ac:dyDescent="0.25">
      <c r="A19" s="9"/>
      <c r="B19" s="10">
        <v>1045274</v>
      </c>
      <c r="C19" s="9" t="s">
        <v>146</v>
      </c>
      <c r="D19" s="15">
        <v>252500</v>
      </c>
      <c r="E19" s="9" t="s">
        <v>28</v>
      </c>
      <c r="F19" s="15">
        <v>380000</v>
      </c>
      <c r="G19" s="17">
        <v>7</v>
      </c>
      <c r="J19" s="15"/>
      <c r="K19" s="11"/>
      <c r="L19" s="15"/>
    </row>
    <row r="20" spans="1:12" x14ac:dyDescent="0.25">
      <c r="A20" s="9"/>
      <c r="B20" s="10">
        <v>1045273</v>
      </c>
      <c r="C20" s="9" t="s">
        <v>147</v>
      </c>
      <c r="D20" s="15">
        <v>252500</v>
      </c>
      <c r="E20" s="9" t="s">
        <v>28</v>
      </c>
      <c r="F20" s="15">
        <v>380000</v>
      </c>
      <c r="G20" s="17">
        <v>7</v>
      </c>
      <c r="J20" s="15"/>
      <c r="K20" s="11"/>
      <c r="L20" s="15"/>
    </row>
    <row r="21" spans="1:12" x14ac:dyDescent="0.25">
      <c r="A21" s="9"/>
      <c r="B21" s="10">
        <v>1045272</v>
      </c>
      <c r="C21" s="9" t="s">
        <v>148</v>
      </c>
      <c r="D21" s="15">
        <v>252500</v>
      </c>
      <c r="E21" s="9" t="s">
        <v>28</v>
      </c>
      <c r="F21" s="15">
        <v>380000</v>
      </c>
      <c r="G21" s="17">
        <v>3</v>
      </c>
      <c r="J21" s="15"/>
      <c r="K21" s="11"/>
      <c r="L21" s="15"/>
    </row>
    <row r="22" spans="1:12" x14ac:dyDescent="0.25">
      <c r="A22" s="9"/>
      <c r="B22" s="10">
        <v>1045271</v>
      </c>
      <c r="C22" s="9" t="s">
        <v>149</v>
      </c>
      <c r="D22" s="15">
        <v>150000</v>
      </c>
      <c r="E22" s="9" t="s">
        <v>29</v>
      </c>
      <c r="F22" s="15">
        <v>250000</v>
      </c>
      <c r="G22" s="17">
        <v>14</v>
      </c>
      <c r="J22" s="15"/>
      <c r="K22" s="11"/>
      <c r="L22" s="15"/>
    </row>
    <row r="23" spans="1:12" x14ac:dyDescent="0.25">
      <c r="A23" s="9"/>
      <c r="B23" s="10">
        <v>1045270</v>
      </c>
      <c r="C23" s="9" t="s">
        <v>150</v>
      </c>
      <c r="D23" s="15">
        <v>150000</v>
      </c>
      <c r="E23" s="9" t="s">
        <v>29</v>
      </c>
      <c r="F23" s="15">
        <v>250000</v>
      </c>
      <c r="G23" s="17">
        <v>13</v>
      </c>
      <c r="J23" s="15"/>
      <c r="K23" s="11"/>
      <c r="L23" s="15"/>
    </row>
    <row r="24" spans="1:12" x14ac:dyDescent="0.25">
      <c r="A24" s="9"/>
      <c r="B24" s="10">
        <v>1045264</v>
      </c>
      <c r="C24" s="9" t="s">
        <v>151</v>
      </c>
      <c r="D24" s="15">
        <v>170000</v>
      </c>
      <c r="E24" s="9" t="s">
        <v>34</v>
      </c>
      <c r="F24" s="15">
        <v>235000</v>
      </c>
      <c r="G24" s="17">
        <v>4</v>
      </c>
      <c r="J24" s="15"/>
      <c r="K24" s="11"/>
      <c r="L24" s="15"/>
    </row>
    <row r="25" spans="1:12" x14ac:dyDescent="0.25">
      <c r="A25" s="9"/>
      <c r="B25" s="10">
        <v>1045263</v>
      </c>
      <c r="C25" s="9" t="s">
        <v>152</v>
      </c>
      <c r="D25" s="15">
        <v>170000</v>
      </c>
      <c r="E25" s="9" t="s">
        <v>34</v>
      </c>
      <c r="F25" s="15">
        <v>235000</v>
      </c>
      <c r="G25" s="17">
        <v>4</v>
      </c>
      <c r="J25" s="15"/>
      <c r="K25" s="11"/>
      <c r="L25" s="15"/>
    </row>
    <row r="26" spans="1:12" x14ac:dyDescent="0.25">
      <c r="A26" s="9"/>
      <c r="B26" s="10"/>
      <c r="C26" s="9"/>
      <c r="D26" s="15"/>
      <c r="E26" s="9"/>
      <c r="F26" s="15"/>
      <c r="G26" s="17"/>
      <c r="J26" s="15"/>
      <c r="K26" s="11"/>
      <c r="L26" s="15"/>
    </row>
    <row r="27" spans="1:12" x14ac:dyDescent="0.25">
      <c r="A27" s="9"/>
      <c r="B27" s="10"/>
      <c r="C27" s="9"/>
      <c r="D27" s="15"/>
      <c r="E27" s="9"/>
      <c r="F27" s="15"/>
      <c r="G27" s="17"/>
      <c r="J27" s="15"/>
      <c r="K27" s="11"/>
      <c r="L27" s="15"/>
    </row>
    <row r="28" spans="1:12" x14ac:dyDescent="0.25">
      <c r="A28" s="9"/>
      <c r="B28" s="10"/>
      <c r="C28" s="9"/>
      <c r="D28" s="15"/>
      <c r="E28" s="9"/>
      <c r="F28" s="15"/>
      <c r="G28" s="17"/>
      <c r="J28" s="15"/>
      <c r="K28" s="11"/>
      <c r="L28" s="15"/>
    </row>
    <row r="29" spans="1:12" x14ac:dyDescent="0.25">
      <c r="A29" s="9"/>
      <c r="B29" s="10"/>
      <c r="C29" s="9"/>
      <c r="D29" s="15"/>
      <c r="E29" s="9"/>
      <c r="F29" s="15"/>
      <c r="G29" s="17"/>
      <c r="J29" s="15"/>
      <c r="K29" s="11"/>
      <c r="L29" s="15"/>
    </row>
    <row r="30" spans="1:12" x14ac:dyDescent="0.25">
      <c r="A30" s="9"/>
      <c r="B30" s="10"/>
      <c r="C30" s="9"/>
      <c r="D30" s="15"/>
      <c r="E30" s="9"/>
      <c r="F30" s="15"/>
      <c r="G30" s="17"/>
      <c r="J30" s="15"/>
      <c r="K30" s="11"/>
      <c r="L30" s="15"/>
    </row>
    <row r="1048523" spans="6:6" x14ac:dyDescent="0.25">
      <c r="F1048523" s="15"/>
    </row>
  </sheetData>
  <phoneticPr fontId="4" type="noConversion"/>
  <conditionalFormatting sqref="A3">
    <cfRule type="duplicateValues" dxfId="35" priority="3"/>
    <cfRule type="duplicateValues" dxfId="34" priority="6"/>
  </conditionalFormatting>
  <conditionalFormatting sqref="B2:B3">
    <cfRule type="duplicateValues" dxfId="33" priority="2"/>
  </conditionalFormatting>
  <conditionalFormatting sqref="B3">
    <cfRule type="duplicateValues" dxfId="32" priority="4"/>
    <cfRule type="duplicateValues" dxfId="31" priority="5"/>
  </conditionalFormatting>
  <conditionalFormatting sqref="A1:B1048576">
    <cfRule type="duplicateValues" dxfId="3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6726-7343-45B1-835E-DA728C9B433A}">
  <dimension ref="A1:N1048541"/>
  <sheetViews>
    <sheetView workbookViewId="0">
      <pane ySplit="3" topLeftCell="A16" activePane="bottomLeft" state="frozen"/>
      <selection pane="bottomLeft" activeCell="B48" sqref="B48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8.85546875" style="13" customWidth="1"/>
    <col min="5" max="5" width="18.28515625" customWidth="1"/>
    <col min="6" max="6" width="16.5703125" style="13" customWidth="1"/>
    <col min="7" max="7" width="9.140625" style="18" bestFit="1" customWidth="1"/>
    <col min="8" max="8" width="15.5703125" style="13" customWidth="1"/>
    <col min="10" max="10" width="19.85546875" style="13" customWidth="1"/>
    <col min="11" max="11" width="15.85546875" style="3" bestFit="1" customWidth="1"/>
    <col min="12" max="12" width="17.140625" style="13" customWidth="1"/>
    <col min="13" max="13" width="15.28515625" style="13" customWidth="1"/>
    <col min="14" max="14" width="12.42578125" customWidth="1"/>
  </cols>
  <sheetData>
    <row r="1" spans="1:14" x14ac:dyDescent="0.25">
      <c r="C1" s="2" t="s">
        <v>190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16" t="s">
        <v>5</v>
      </c>
      <c r="K3" s="12" t="s">
        <v>129</v>
      </c>
      <c r="L3" s="16" t="s">
        <v>7</v>
      </c>
      <c r="N3" s="8"/>
    </row>
    <row r="4" spans="1:14" x14ac:dyDescent="0.25">
      <c r="A4" s="9"/>
      <c r="B4" s="10">
        <v>1045301</v>
      </c>
      <c r="C4" s="9" t="s">
        <v>163</v>
      </c>
      <c r="D4" s="15">
        <v>220000</v>
      </c>
      <c r="E4" s="9" t="s">
        <v>15</v>
      </c>
      <c r="F4" s="15">
        <v>325000</v>
      </c>
      <c r="G4" s="17">
        <v>4</v>
      </c>
      <c r="J4" s="15"/>
      <c r="K4" s="11"/>
      <c r="L4" s="15">
        <v>5000</v>
      </c>
    </row>
    <row r="5" spans="1:14" x14ac:dyDescent="0.25">
      <c r="A5" s="9"/>
      <c r="B5" s="10">
        <v>1045300</v>
      </c>
      <c r="C5" s="9" t="s">
        <v>164</v>
      </c>
      <c r="D5" s="15">
        <v>220000</v>
      </c>
      <c r="E5" s="9" t="s">
        <v>15</v>
      </c>
      <c r="F5" s="15">
        <v>325000</v>
      </c>
      <c r="G5" s="17">
        <v>8</v>
      </c>
      <c r="J5" s="15"/>
      <c r="K5" s="11"/>
      <c r="L5" s="15">
        <v>5000</v>
      </c>
    </row>
    <row r="6" spans="1:14" x14ac:dyDescent="0.25">
      <c r="A6" s="9"/>
      <c r="B6" s="10">
        <v>1045299</v>
      </c>
      <c r="C6" s="9" t="s">
        <v>165</v>
      </c>
      <c r="D6" s="15">
        <v>220000</v>
      </c>
      <c r="E6" s="9" t="s">
        <v>15</v>
      </c>
      <c r="F6" s="15">
        <v>325000</v>
      </c>
      <c r="G6" s="17">
        <v>11</v>
      </c>
      <c r="J6" s="15"/>
      <c r="K6" s="11"/>
      <c r="L6" s="15">
        <v>5000</v>
      </c>
    </row>
    <row r="7" spans="1:14" x14ac:dyDescent="0.25">
      <c r="A7" s="9"/>
      <c r="B7" s="10">
        <v>1045296</v>
      </c>
      <c r="C7" s="9" t="s">
        <v>168</v>
      </c>
      <c r="D7" s="15">
        <v>273000</v>
      </c>
      <c r="E7" s="9" t="s">
        <v>17</v>
      </c>
      <c r="F7" s="15">
        <v>350000</v>
      </c>
      <c r="G7" s="17">
        <v>1</v>
      </c>
      <c r="J7" s="15">
        <v>2730</v>
      </c>
      <c r="K7" s="11" t="s">
        <v>18</v>
      </c>
      <c r="L7" s="15">
        <v>6000</v>
      </c>
    </row>
    <row r="8" spans="1:14" x14ac:dyDescent="0.25">
      <c r="A8" s="9"/>
      <c r="B8" s="10">
        <v>1045295</v>
      </c>
      <c r="C8" s="9" t="s">
        <v>169</v>
      </c>
      <c r="D8" s="15">
        <v>273000</v>
      </c>
      <c r="E8" s="9" t="s">
        <v>17</v>
      </c>
      <c r="F8" s="15">
        <v>350000</v>
      </c>
      <c r="G8" s="17">
        <v>3</v>
      </c>
      <c r="J8" s="15">
        <v>2730</v>
      </c>
      <c r="K8" s="11" t="s">
        <v>18</v>
      </c>
      <c r="L8" s="15">
        <v>6000</v>
      </c>
    </row>
    <row r="9" spans="1:14" x14ac:dyDescent="0.25">
      <c r="A9" s="9"/>
      <c r="B9" s="10">
        <v>1045290</v>
      </c>
      <c r="C9" s="9" t="s">
        <v>172</v>
      </c>
      <c r="D9" s="15">
        <v>302000</v>
      </c>
      <c r="E9" s="9" t="s">
        <v>21</v>
      </c>
      <c r="F9" s="15">
        <v>475000</v>
      </c>
      <c r="G9" s="17">
        <v>7</v>
      </c>
      <c r="J9" s="15">
        <v>3020</v>
      </c>
      <c r="K9" s="11" t="s">
        <v>22</v>
      </c>
      <c r="L9" s="15">
        <v>7000</v>
      </c>
    </row>
    <row r="10" spans="1:14" x14ac:dyDescent="0.25">
      <c r="A10" s="9"/>
      <c r="B10" s="10">
        <v>1045289</v>
      </c>
      <c r="C10" s="9" t="s">
        <v>173</v>
      </c>
      <c r="D10" s="15">
        <v>302000</v>
      </c>
      <c r="E10" s="9" t="s">
        <v>21</v>
      </c>
      <c r="F10" s="15">
        <v>475000</v>
      </c>
      <c r="G10" s="17">
        <v>8</v>
      </c>
      <c r="J10" s="15">
        <v>3020</v>
      </c>
      <c r="K10" s="11" t="s">
        <v>22</v>
      </c>
      <c r="L10" s="15">
        <v>7000</v>
      </c>
    </row>
    <row r="11" spans="1:14" x14ac:dyDescent="0.25">
      <c r="A11" s="9"/>
      <c r="B11" s="10">
        <v>1045313</v>
      </c>
      <c r="C11" s="9" t="s">
        <v>157</v>
      </c>
      <c r="D11" s="15">
        <v>221200</v>
      </c>
      <c r="E11" s="9" t="s">
        <v>10</v>
      </c>
      <c r="F11" s="15">
        <v>500000</v>
      </c>
      <c r="G11" s="17">
        <v>8</v>
      </c>
      <c r="J11" s="15">
        <v>3300</v>
      </c>
      <c r="K11" s="11" t="s">
        <v>11</v>
      </c>
      <c r="L11" s="15">
        <v>9000</v>
      </c>
    </row>
    <row r="12" spans="1:14" x14ac:dyDescent="0.25">
      <c r="A12" s="9"/>
      <c r="B12" s="10">
        <v>1045312</v>
      </c>
      <c r="C12" s="9" t="s">
        <v>158</v>
      </c>
      <c r="D12" s="15">
        <v>221200</v>
      </c>
      <c r="E12" s="9" t="s">
        <v>10</v>
      </c>
      <c r="F12" s="15">
        <v>500000</v>
      </c>
      <c r="G12" s="17">
        <v>10</v>
      </c>
      <c r="J12" s="15">
        <v>3300</v>
      </c>
      <c r="K12" s="11" t="s">
        <v>11</v>
      </c>
      <c r="L12" s="15">
        <v>9000</v>
      </c>
    </row>
    <row r="13" spans="1:14" x14ac:dyDescent="0.25">
      <c r="A13" s="9"/>
      <c r="B13" s="10">
        <v>1045282</v>
      </c>
      <c r="C13" s="9" t="s">
        <v>178</v>
      </c>
      <c r="D13" s="15">
        <v>315000</v>
      </c>
      <c r="E13" s="9" t="s">
        <v>25</v>
      </c>
      <c r="F13" s="15">
        <v>500000</v>
      </c>
      <c r="G13" s="17">
        <v>11</v>
      </c>
      <c r="J13" s="15">
        <v>3150</v>
      </c>
      <c r="K13" s="11" t="s">
        <v>26</v>
      </c>
      <c r="L13" s="15">
        <v>9000</v>
      </c>
    </row>
    <row r="14" spans="1:14" x14ac:dyDescent="0.25">
      <c r="A14" s="9"/>
      <c r="B14" s="10">
        <v>1045281</v>
      </c>
      <c r="C14" s="9" t="s">
        <v>178</v>
      </c>
      <c r="D14" s="15">
        <v>315000</v>
      </c>
      <c r="E14" s="9" t="s">
        <v>25</v>
      </c>
      <c r="F14" s="15">
        <v>500000</v>
      </c>
      <c r="G14" s="17">
        <v>30</v>
      </c>
      <c r="J14" s="15">
        <v>3150</v>
      </c>
      <c r="K14" s="11" t="s">
        <v>26</v>
      </c>
      <c r="L14" s="15">
        <v>9000</v>
      </c>
    </row>
    <row r="15" spans="1:14" x14ac:dyDescent="0.25">
      <c r="A15" s="9"/>
      <c r="B15" s="10">
        <v>1045280</v>
      </c>
      <c r="C15" s="9" t="s">
        <v>178</v>
      </c>
      <c r="D15" s="15">
        <v>315000</v>
      </c>
      <c r="E15" s="9" t="s">
        <v>25</v>
      </c>
      <c r="F15" s="15">
        <v>500000</v>
      </c>
      <c r="G15" s="17">
        <v>4</v>
      </c>
      <c r="J15" s="15">
        <v>3150</v>
      </c>
      <c r="K15" s="11" t="s">
        <v>26</v>
      </c>
      <c r="L15" s="15">
        <v>9000</v>
      </c>
    </row>
    <row r="16" spans="1:14" x14ac:dyDescent="0.25">
      <c r="A16" s="9"/>
      <c r="B16" s="10">
        <v>1045279</v>
      </c>
      <c r="C16" s="9" t="s">
        <v>178</v>
      </c>
      <c r="D16" s="15">
        <v>315000</v>
      </c>
      <c r="E16" s="9" t="s">
        <v>25</v>
      </c>
      <c r="F16" s="15">
        <v>500000</v>
      </c>
      <c r="G16" s="17">
        <v>3</v>
      </c>
      <c r="J16" s="15">
        <v>3150</v>
      </c>
      <c r="K16" s="11" t="s">
        <v>26</v>
      </c>
      <c r="L16" s="15">
        <v>9000</v>
      </c>
    </row>
    <row r="17" spans="1:12" x14ac:dyDescent="0.25">
      <c r="A17" s="9"/>
      <c r="B17" s="10">
        <v>1045266</v>
      </c>
      <c r="C17" s="9" t="s">
        <v>182</v>
      </c>
      <c r="D17" s="15">
        <v>225000</v>
      </c>
      <c r="E17" s="9" t="s">
        <v>32</v>
      </c>
      <c r="F17" s="15">
        <v>285000</v>
      </c>
      <c r="G17" s="17">
        <v>3</v>
      </c>
      <c r="J17" s="15">
        <v>2500</v>
      </c>
      <c r="K17" s="11" t="s">
        <v>33</v>
      </c>
      <c r="L17" s="15">
        <v>6000</v>
      </c>
    </row>
    <row r="18" spans="1:12" x14ac:dyDescent="0.25">
      <c r="A18" s="9"/>
      <c r="B18" s="10">
        <v>1045265</v>
      </c>
      <c r="C18" s="9" t="s">
        <v>183</v>
      </c>
      <c r="D18" s="15">
        <v>225000</v>
      </c>
      <c r="E18" s="9" t="s">
        <v>32</v>
      </c>
      <c r="F18" s="15">
        <v>285000</v>
      </c>
      <c r="G18" s="17">
        <v>4</v>
      </c>
      <c r="J18" s="15">
        <v>2500</v>
      </c>
      <c r="K18" s="11" t="s">
        <v>33</v>
      </c>
      <c r="L18" s="15">
        <v>6000</v>
      </c>
    </row>
    <row r="19" spans="1:12" x14ac:dyDescent="0.25">
      <c r="A19" s="9"/>
      <c r="B19" s="10">
        <v>1045262</v>
      </c>
      <c r="C19" s="9" t="s">
        <v>184</v>
      </c>
      <c r="D19" s="15">
        <v>318000</v>
      </c>
      <c r="E19" s="9" t="s">
        <v>35</v>
      </c>
      <c r="F19" s="15">
        <v>390000</v>
      </c>
      <c r="G19" s="17">
        <v>2</v>
      </c>
      <c r="J19" s="15"/>
      <c r="K19" s="11"/>
      <c r="L19" s="15"/>
    </row>
    <row r="20" spans="1:12" x14ac:dyDescent="0.25">
      <c r="A20" s="9"/>
      <c r="B20" s="10">
        <v>1045261</v>
      </c>
      <c r="C20" s="9" t="s">
        <v>185</v>
      </c>
      <c r="D20" s="15">
        <v>318000</v>
      </c>
      <c r="E20" s="9" t="s">
        <v>35</v>
      </c>
      <c r="F20" s="15">
        <v>390000</v>
      </c>
      <c r="G20" s="17">
        <v>1</v>
      </c>
      <c r="J20" s="15"/>
      <c r="K20" s="11"/>
      <c r="L20" s="15"/>
    </row>
    <row r="21" spans="1:12" x14ac:dyDescent="0.25">
      <c r="A21" s="9"/>
      <c r="B21" s="10">
        <v>1045260</v>
      </c>
      <c r="C21" s="9" t="s">
        <v>186</v>
      </c>
      <c r="D21" s="15">
        <v>220000</v>
      </c>
      <c r="E21" s="9" t="s">
        <v>15</v>
      </c>
      <c r="F21" s="15">
        <v>325000</v>
      </c>
      <c r="G21" s="17">
        <v>2</v>
      </c>
      <c r="J21" s="15"/>
      <c r="K21" s="11"/>
      <c r="L21" s="15"/>
    </row>
    <row r="22" spans="1:12" x14ac:dyDescent="0.25">
      <c r="A22" s="9"/>
      <c r="B22" s="10"/>
      <c r="C22" s="9"/>
      <c r="D22" s="15"/>
      <c r="E22" s="9"/>
      <c r="F22" s="15"/>
      <c r="G22" s="17"/>
      <c r="J22" s="15"/>
      <c r="K22" s="11"/>
      <c r="L22" s="15"/>
    </row>
    <row r="23" spans="1:12" x14ac:dyDescent="0.25">
      <c r="A23" s="9"/>
      <c r="B23" s="10">
        <v>1045317</v>
      </c>
      <c r="C23" s="9" t="s">
        <v>153</v>
      </c>
      <c r="D23" s="15">
        <v>536000</v>
      </c>
      <c r="E23" s="9" t="s">
        <v>8</v>
      </c>
      <c r="F23" s="15">
        <v>650000</v>
      </c>
      <c r="G23" s="17">
        <v>38</v>
      </c>
      <c r="J23" s="15">
        <v>5360</v>
      </c>
      <c r="K23" s="11" t="s">
        <v>9</v>
      </c>
      <c r="L23" s="15">
        <v>10000</v>
      </c>
    </row>
    <row r="24" spans="1:12" x14ac:dyDescent="0.25">
      <c r="A24" s="9"/>
      <c r="B24" s="10">
        <v>1045316</v>
      </c>
      <c r="C24" s="9" t="s">
        <v>154</v>
      </c>
      <c r="D24" s="15">
        <v>536000</v>
      </c>
      <c r="E24" s="9" t="s">
        <v>8</v>
      </c>
      <c r="F24" s="15">
        <v>650000</v>
      </c>
      <c r="G24" s="17">
        <v>28</v>
      </c>
      <c r="J24" s="15">
        <v>5360</v>
      </c>
      <c r="K24" s="11" t="s">
        <v>9</v>
      </c>
      <c r="L24" s="15">
        <v>10000</v>
      </c>
    </row>
    <row r="25" spans="1:12" x14ac:dyDescent="0.25">
      <c r="A25" s="9"/>
      <c r="B25" s="10">
        <v>1045315</v>
      </c>
      <c r="C25" s="9" t="s">
        <v>155</v>
      </c>
      <c r="D25" s="15">
        <v>536000</v>
      </c>
      <c r="E25" s="9" t="s">
        <v>8</v>
      </c>
      <c r="F25" s="15">
        <v>650000</v>
      </c>
      <c r="G25" s="17">
        <v>21</v>
      </c>
      <c r="J25" s="15">
        <v>5360</v>
      </c>
      <c r="K25" s="11" t="s">
        <v>9</v>
      </c>
      <c r="L25" s="15">
        <v>10000</v>
      </c>
    </row>
    <row r="26" spans="1:12" x14ac:dyDescent="0.25">
      <c r="A26" s="9"/>
      <c r="B26" s="10">
        <v>1045314</v>
      </c>
      <c r="C26" s="9" t="s">
        <v>156</v>
      </c>
      <c r="D26" s="15">
        <v>536000</v>
      </c>
      <c r="E26" s="9" t="s">
        <v>8</v>
      </c>
      <c r="F26" s="15">
        <v>650000</v>
      </c>
      <c r="G26" s="17">
        <v>18</v>
      </c>
      <c r="J26" s="15">
        <v>5360</v>
      </c>
      <c r="K26" s="11" t="s">
        <v>9</v>
      </c>
      <c r="L26" s="15">
        <v>10000</v>
      </c>
    </row>
    <row r="27" spans="1:12" x14ac:dyDescent="0.25">
      <c r="A27" s="9"/>
      <c r="B27" s="10">
        <v>1045305</v>
      </c>
      <c r="C27" s="9" t="s">
        <v>159</v>
      </c>
      <c r="D27" s="15">
        <v>350000</v>
      </c>
      <c r="E27" s="9" t="s">
        <v>14</v>
      </c>
      <c r="F27" s="15">
        <v>475000</v>
      </c>
      <c r="G27" s="17">
        <v>14</v>
      </c>
      <c r="J27" s="15"/>
      <c r="K27" s="11"/>
      <c r="L27" s="15">
        <v>6000</v>
      </c>
    </row>
    <row r="28" spans="1:12" x14ac:dyDescent="0.25">
      <c r="A28" s="9"/>
      <c r="B28" s="10">
        <v>1045304</v>
      </c>
      <c r="C28" s="9" t="s">
        <v>160</v>
      </c>
      <c r="D28" s="15">
        <v>350000</v>
      </c>
      <c r="E28" s="9" t="s">
        <v>14</v>
      </c>
      <c r="F28" s="15">
        <v>475000</v>
      </c>
      <c r="G28" s="17">
        <v>10</v>
      </c>
      <c r="J28" s="15"/>
      <c r="K28" s="11"/>
      <c r="L28" s="15">
        <v>6000</v>
      </c>
    </row>
    <row r="29" spans="1:12" x14ac:dyDescent="0.25">
      <c r="A29" s="9"/>
      <c r="B29" s="10">
        <v>1045303</v>
      </c>
      <c r="C29" s="9" t="s">
        <v>161</v>
      </c>
      <c r="D29" s="15">
        <v>350000</v>
      </c>
      <c r="E29" s="9" t="s">
        <v>14</v>
      </c>
      <c r="F29" s="15">
        <v>475000</v>
      </c>
      <c r="G29" s="17">
        <v>8</v>
      </c>
      <c r="J29" s="15"/>
      <c r="K29" s="11"/>
      <c r="L29" s="15">
        <v>6000</v>
      </c>
    </row>
    <row r="30" spans="1:12" x14ac:dyDescent="0.25">
      <c r="A30" s="9"/>
      <c r="B30" s="10">
        <v>1045302</v>
      </c>
      <c r="C30" s="9" t="s">
        <v>162</v>
      </c>
      <c r="D30" s="15">
        <v>350000</v>
      </c>
      <c r="E30" s="9" t="s">
        <v>14</v>
      </c>
      <c r="F30" s="15">
        <v>475000</v>
      </c>
      <c r="G30" s="17">
        <v>12</v>
      </c>
      <c r="J30" s="15"/>
      <c r="K30" s="11"/>
      <c r="L30" s="15">
        <v>6000</v>
      </c>
    </row>
    <row r="31" spans="1:12" x14ac:dyDescent="0.25">
      <c r="A31" s="9"/>
      <c r="B31" s="10">
        <v>1045298</v>
      </c>
      <c r="C31" s="9" t="s">
        <v>166</v>
      </c>
      <c r="D31" s="15">
        <v>436800</v>
      </c>
      <c r="E31" s="9" t="s">
        <v>16</v>
      </c>
      <c r="F31" s="15">
        <v>550000</v>
      </c>
      <c r="G31" s="17">
        <v>11</v>
      </c>
      <c r="J31" s="15"/>
      <c r="K31" s="11"/>
      <c r="L31" s="15">
        <v>7000</v>
      </c>
    </row>
    <row r="32" spans="1:12" x14ac:dyDescent="0.25">
      <c r="A32" s="9"/>
      <c r="B32" s="10">
        <v>1045297</v>
      </c>
      <c r="C32" s="9" t="s">
        <v>167</v>
      </c>
      <c r="D32" s="15">
        <v>436800</v>
      </c>
      <c r="E32" s="9" t="s">
        <v>16</v>
      </c>
      <c r="F32" s="15">
        <v>550000</v>
      </c>
      <c r="G32" s="17">
        <v>10</v>
      </c>
      <c r="J32" s="15"/>
      <c r="K32" s="11"/>
      <c r="L32" s="15">
        <v>7000</v>
      </c>
    </row>
    <row r="33" spans="1:12" x14ac:dyDescent="0.25">
      <c r="A33" s="9"/>
      <c r="B33" s="10">
        <v>1045294</v>
      </c>
      <c r="C33" s="9" t="s">
        <v>170</v>
      </c>
      <c r="D33" s="15">
        <v>476000</v>
      </c>
      <c r="E33" s="9" t="s">
        <v>19</v>
      </c>
      <c r="F33" s="15">
        <v>685000</v>
      </c>
      <c r="G33" s="17">
        <v>8</v>
      </c>
      <c r="J33" s="15"/>
      <c r="K33" s="11"/>
      <c r="L33" s="15">
        <v>8000</v>
      </c>
    </row>
    <row r="34" spans="1:12" x14ac:dyDescent="0.25">
      <c r="A34" s="9"/>
      <c r="B34" s="10">
        <v>1045293</v>
      </c>
      <c r="C34" s="9" t="s">
        <v>171</v>
      </c>
      <c r="D34" s="15">
        <v>476000</v>
      </c>
      <c r="E34" s="9" t="s">
        <v>19</v>
      </c>
      <c r="F34" s="15">
        <v>685000</v>
      </c>
      <c r="G34" s="17">
        <v>8</v>
      </c>
      <c r="J34" s="15"/>
      <c r="K34" s="11"/>
      <c r="L34" s="15">
        <v>8000</v>
      </c>
    </row>
    <row r="35" spans="1:12" x14ac:dyDescent="0.25">
      <c r="A35" s="9"/>
      <c r="B35" s="10">
        <v>1045286</v>
      </c>
      <c r="C35" s="9" t="s">
        <v>174</v>
      </c>
      <c r="D35" s="15">
        <v>505000</v>
      </c>
      <c r="E35" s="9" t="s">
        <v>24</v>
      </c>
      <c r="F35" s="15">
        <v>625000</v>
      </c>
      <c r="G35" s="17">
        <v>3</v>
      </c>
      <c r="J35" s="15"/>
      <c r="K35" s="11"/>
      <c r="L35" s="15">
        <v>10000</v>
      </c>
    </row>
    <row r="36" spans="1:12" x14ac:dyDescent="0.25">
      <c r="A36" s="9"/>
      <c r="B36" s="10">
        <v>1045285</v>
      </c>
      <c r="C36" s="9" t="s">
        <v>175</v>
      </c>
      <c r="D36" s="15">
        <v>505000</v>
      </c>
      <c r="E36" s="9" t="s">
        <v>24</v>
      </c>
      <c r="F36" s="15">
        <v>625000</v>
      </c>
      <c r="G36" s="17">
        <v>22</v>
      </c>
      <c r="J36" s="15"/>
      <c r="K36" s="11"/>
      <c r="L36" s="15">
        <v>10000</v>
      </c>
    </row>
    <row r="37" spans="1:12" x14ac:dyDescent="0.25">
      <c r="A37" s="9"/>
      <c r="B37" s="10">
        <v>1045284</v>
      </c>
      <c r="C37" s="9" t="s">
        <v>176</v>
      </c>
      <c r="D37" s="15">
        <v>505000</v>
      </c>
      <c r="E37" s="9" t="s">
        <v>24</v>
      </c>
      <c r="F37" s="15">
        <v>625000</v>
      </c>
      <c r="G37" s="17">
        <v>10</v>
      </c>
      <c r="J37" s="15"/>
      <c r="K37" s="11"/>
      <c r="L37" s="15">
        <v>10000</v>
      </c>
    </row>
    <row r="38" spans="1:12" x14ac:dyDescent="0.25">
      <c r="A38" s="9"/>
      <c r="B38" s="10">
        <v>1045283</v>
      </c>
      <c r="C38" s="9" t="s">
        <v>177</v>
      </c>
      <c r="D38" s="15">
        <v>505000</v>
      </c>
      <c r="E38" s="9" t="s">
        <v>24</v>
      </c>
      <c r="F38" s="15">
        <v>625000</v>
      </c>
      <c r="G38" s="17">
        <v>8</v>
      </c>
      <c r="J38" s="15"/>
      <c r="K38" s="11"/>
      <c r="L38" s="15">
        <v>10000</v>
      </c>
    </row>
    <row r="39" spans="1:12" x14ac:dyDescent="0.25">
      <c r="A39" s="9"/>
      <c r="B39" s="10">
        <v>1045269</v>
      </c>
      <c r="C39" s="9" t="s">
        <v>179</v>
      </c>
      <c r="D39" s="15">
        <v>328500</v>
      </c>
      <c r="E39" s="9" t="s">
        <v>30</v>
      </c>
      <c r="F39" s="15">
        <v>475000</v>
      </c>
      <c r="G39" s="17">
        <v>5</v>
      </c>
      <c r="J39" s="15">
        <v>2660</v>
      </c>
      <c r="K39" s="11" t="s">
        <v>31</v>
      </c>
      <c r="L39" s="15">
        <v>7000</v>
      </c>
    </row>
    <row r="40" spans="1:12" x14ac:dyDescent="0.25">
      <c r="A40" s="9"/>
      <c r="B40" s="10">
        <v>1045268</v>
      </c>
      <c r="C40" s="9" t="s">
        <v>180</v>
      </c>
      <c r="D40" s="15">
        <v>328500</v>
      </c>
      <c r="E40" s="9" t="s">
        <v>30</v>
      </c>
      <c r="F40" s="15">
        <v>475000</v>
      </c>
      <c r="G40" s="17">
        <v>3</v>
      </c>
      <c r="J40" s="15">
        <v>2660</v>
      </c>
      <c r="K40" s="11" t="s">
        <v>31</v>
      </c>
      <c r="L40" s="15">
        <v>7000</v>
      </c>
    </row>
    <row r="41" spans="1:12" x14ac:dyDescent="0.25">
      <c r="A41" s="9"/>
      <c r="B41" s="10">
        <v>1045267</v>
      </c>
      <c r="C41" s="9" t="s">
        <v>181</v>
      </c>
      <c r="D41" s="15">
        <v>328500</v>
      </c>
      <c r="E41" s="9" t="s">
        <v>30</v>
      </c>
      <c r="F41" s="15">
        <v>475000</v>
      </c>
      <c r="G41" s="17">
        <v>2</v>
      </c>
      <c r="J41" s="15">
        <v>2660</v>
      </c>
      <c r="K41" s="11" t="s">
        <v>31</v>
      </c>
      <c r="L41" s="15">
        <v>7000</v>
      </c>
    </row>
    <row r="42" spans="1:12" x14ac:dyDescent="0.25">
      <c r="A42" s="9"/>
      <c r="B42" s="10">
        <v>1045259</v>
      </c>
      <c r="C42" s="9" t="s">
        <v>187</v>
      </c>
      <c r="D42" s="15">
        <v>350000</v>
      </c>
      <c r="E42" s="9" t="s">
        <v>14</v>
      </c>
      <c r="F42" s="15">
        <v>475000</v>
      </c>
      <c r="G42" s="17">
        <v>1</v>
      </c>
      <c r="J42" s="15"/>
      <c r="K42" s="11"/>
      <c r="L42" s="15">
        <v>6000</v>
      </c>
    </row>
    <row r="43" spans="1:12" x14ac:dyDescent="0.25">
      <c r="A43" s="9"/>
      <c r="B43" s="10">
        <v>1045258</v>
      </c>
      <c r="C43" s="9" t="s">
        <v>188</v>
      </c>
      <c r="D43" s="15">
        <v>350000</v>
      </c>
      <c r="E43" s="9" t="s">
        <v>14</v>
      </c>
      <c r="F43" s="15">
        <v>475000</v>
      </c>
      <c r="G43" s="17">
        <v>1</v>
      </c>
      <c r="J43" s="15"/>
      <c r="K43" s="11"/>
      <c r="L43" s="15">
        <v>6000</v>
      </c>
    </row>
    <row r="44" spans="1:12" x14ac:dyDescent="0.25">
      <c r="A44" s="9"/>
      <c r="B44" s="10"/>
      <c r="C44" s="9"/>
      <c r="D44" s="15"/>
      <c r="E44" s="9"/>
      <c r="F44" s="15"/>
      <c r="G44" s="17"/>
      <c r="J44" s="15"/>
      <c r="K44" s="11"/>
      <c r="L44" s="15"/>
    </row>
    <row r="45" spans="1:12" x14ac:dyDescent="0.25">
      <c r="A45" s="9"/>
      <c r="B45" s="10"/>
      <c r="C45" s="9"/>
      <c r="D45" s="15"/>
      <c r="E45" s="9"/>
      <c r="F45" s="15"/>
      <c r="G45" s="17"/>
      <c r="J45" s="15"/>
      <c r="K45" s="11"/>
      <c r="L45" s="15"/>
    </row>
    <row r="46" spans="1:12" x14ac:dyDescent="0.25">
      <c r="A46" s="9"/>
      <c r="B46" s="10"/>
      <c r="C46" s="9"/>
      <c r="D46" s="15"/>
      <c r="E46" s="9"/>
      <c r="F46" s="15"/>
      <c r="G46" s="17"/>
      <c r="J46" s="15"/>
      <c r="K46" s="11"/>
      <c r="L46" s="15"/>
    </row>
    <row r="47" spans="1:12" x14ac:dyDescent="0.25">
      <c r="A47" s="9"/>
      <c r="B47" s="10"/>
      <c r="C47" s="9"/>
      <c r="D47" s="15"/>
      <c r="E47" s="9"/>
      <c r="F47" s="15"/>
      <c r="G47" s="17"/>
      <c r="J47" s="15"/>
      <c r="K47" s="11"/>
      <c r="L47" s="15"/>
    </row>
    <row r="48" spans="1:12" x14ac:dyDescent="0.25">
      <c r="A48" s="9"/>
      <c r="B48" s="10"/>
      <c r="C48" s="9"/>
      <c r="D48" s="15"/>
      <c r="E48" s="9"/>
      <c r="F48" s="15"/>
      <c r="G48" s="17"/>
      <c r="J48" s="15"/>
      <c r="K48" s="11"/>
      <c r="L48" s="15"/>
    </row>
    <row r="1048541" spans="6:6" x14ac:dyDescent="0.25">
      <c r="F1048541" s="15"/>
    </row>
  </sheetData>
  <conditionalFormatting sqref="A3">
    <cfRule type="duplicateValues" dxfId="29" priority="3"/>
    <cfRule type="duplicateValues" dxfId="28" priority="6"/>
  </conditionalFormatting>
  <conditionalFormatting sqref="B2:B3">
    <cfRule type="duplicateValues" dxfId="27" priority="2"/>
  </conditionalFormatting>
  <conditionalFormatting sqref="B3">
    <cfRule type="duplicateValues" dxfId="26" priority="4"/>
    <cfRule type="duplicateValues" dxfId="25" priority="5"/>
  </conditionalFormatting>
  <conditionalFormatting sqref="A1:B1048576">
    <cfRule type="duplicateValues" dxfId="2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9919-A4EA-4CEC-8116-628A28F29238}">
  <dimension ref="A1:N1048520"/>
  <sheetViews>
    <sheetView workbookViewId="0">
      <pane ySplit="3" topLeftCell="A4" activePane="bottomLeft" state="frozen"/>
      <selection pane="bottomLeft" activeCell="C32" sqref="C32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6.7109375" style="13" bestFit="1" customWidth="1"/>
    <col min="5" max="5" width="16.85546875" bestFit="1" customWidth="1"/>
    <col min="6" max="6" width="17.5703125" style="13" customWidth="1"/>
    <col min="7" max="7" width="9.140625" style="18" bestFit="1" customWidth="1"/>
    <col min="8" max="8" width="14.5703125" style="13" customWidth="1"/>
    <col min="9" max="9" width="7.28515625" customWidth="1"/>
    <col min="10" max="10" width="17.28515625" style="13" customWidth="1"/>
    <col min="11" max="11" width="15.85546875" style="3" bestFit="1" customWidth="1"/>
    <col min="12" max="12" width="16" style="13" customWidth="1"/>
    <col min="13" max="13" width="13.5703125" style="13" customWidth="1"/>
    <col min="14" max="14" width="12.42578125" customWidth="1"/>
  </cols>
  <sheetData>
    <row r="1" spans="1:14" x14ac:dyDescent="0.25">
      <c r="C1" s="2" t="s">
        <v>130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16" t="s">
        <v>5</v>
      </c>
      <c r="K3" s="12" t="s">
        <v>6</v>
      </c>
      <c r="L3" s="16" t="s">
        <v>7</v>
      </c>
      <c r="N3" s="8"/>
    </row>
    <row r="4" spans="1:14" x14ac:dyDescent="0.25">
      <c r="A4" s="9"/>
      <c r="B4" s="10">
        <v>9943176</v>
      </c>
      <c r="C4" s="9" t="s">
        <v>96</v>
      </c>
      <c r="D4" s="15">
        <v>606000</v>
      </c>
      <c r="E4" s="9" t="s">
        <v>38</v>
      </c>
      <c r="F4" s="15">
        <v>800000</v>
      </c>
      <c r="G4" s="17">
        <v>2</v>
      </c>
      <c r="H4" s="13">
        <f>F4-D4</f>
        <v>194000</v>
      </c>
      <c r="J4" s="15"/>
      <c r="K4" s="11"/>
      <c r="L4" s="15"/>
    </row>
    <row r="5" spans="1:14" x14ac:dyDescent="0.25">
      <c r="A5" s="9"/>
      <c r="B5" s="10">
        <v>9943182</v>
      </c>
      <c r="C5" s="9" t="s">
        <v>97</v>
      </c>
      <c r="D5" s="15">
        <v>265000</v>
      </c>
      <c r="E5" s="9" t="s">
        <v>45</v>
      </c>
      <c r="F5" s="15">
        <v>375000</v>
      </c>
      <c r="G5" s="17">
        <v>4</v>
      </c>
      <c r="H5" s="13">
        <f t="shared" ref="H5:H22" si="0">F5-D5</f>
        <v>110000</v>
      </c>
      <c r="J5" s="15"/>
      <c r="K5" s="11"/>
      <c r="L5" s="15"/>
    </row>
    <row r="6" spans="1:14" x14ac:dyDescent="0.25">
      <c r="A6" s="9"/>
      <c r="B6" s="10">
        <v>9943183</v>
      </c>
      <c r="C6" s="9" t="s">
        <v>98</v>
      </c>
      <c r="D6" s="15">
        <v>351000</v>
      </c>
      <c r="E6" s="9" t="s">
        <v>46</v>
      </c>
      <c r="F6" s="15">
        <v>550000</v>
      </c>
      <c r="G6" s="17">
        <v>3</v>
      </c>
      <c r="H6" s="13">
        <f t="shared" si="0"/>
        <v>199000</v>
      </c>
      <c r="J6" s="15"/>
      <c r="K6" s="11"/>
      <c r="L6" s="15"/>
    </row>
    <row r="7" spans="1:14" x14ac:dyDescent="0.25">
      <c r="A7" s="9"/>
      <c r="B7" s="10">
        <v>9943184</v>
      </c>
      <c r="C7" s="9" t="s">
        <v>99</v>
      </c>
      <c r="D7" s="15">
        <v>375000</v>
      </c>
      <c r="E7" s="9" t="s">
        <v>47</v>
      </c>
      <c r="F7" s="15">
        <v>550000</v>
      </c>
      <c r="G7" s="17">
        <v>5</v>
      </c>
      <c r="H7" s="13">
        <f t="shared" si="0"/>
        <v>175000</v>
      </c>
      <c r="J7" s="15"/>
      <c r="K7" s="11"/>
      <c r="L7" s="15"/>
    </row>
    <row r="8" spans="1:14" x14ac:dyDescent="0.25">
      <c r="A8" s="9"/>
      <c r="B8" s="10">
        <v>9943179</v>
      </c>
      <c r="C8" s="9" t="s">
        <v>100</v>
      </c>
      <c r="D8" s="15">
        <v>415000</v>
      </c>
      <c r="E8" s="9" t="s">
        <v>44</v>
      </c>
      <c r="F8" s="15">
        <v>575000</v>
      </c>
      <c r="G8" s="17">
        <v>1</v>
      </c>
      <c r="H8" s="13">
        <f t="shared" si="0"/>
        <v>160000</v>
      </c>
      <c r="J8" s="15"/>
      <c r="K8" s="11"/>
      <c r="L8" s="15"/>
    </row>
    <row r="9" spans="1:14" x14ac:dyDescent="0.25">
      <c r="A9" s="9"/>
      <c r="B9" s="10">
        <v>9943185</v>
      </c>
      <c r="C9" s="9" t="s">
        <v>101</v>
      </c>
      <c r="D9" s="15"/>
      <c r="E9" s="9"/>
      <c r="F9" s="15"/>
      <c r="G9" s="17"/>
      <c r="H9" s="13">
        <f t="shared" si="0"/>
        <v>0</v>
      </c>
      <c r="J9" s="15"/>
      <c r="K9" s="11"/>
      <c r="L9" s="15"/>
    </row>
    <row r="10" spans="1:14" x14ac:dyDescent="0.25">
      <c r="A10" s="9"/>
      <c r="B10" s="10"/>
      <c r="C10" s="9" t="s">
        <v>192</v>
      </c>
      <c r="D10" s="15">
        <v>580000</v>
      </c>
      <c r="E10" s="9" t="s">
        <v>191</v>
      </c>
      <c r="F10" s="15">
        <v>750000</v>
      </c>
      <c r="G10" s="17"/>
      <c r="H10" s="13">
        <f t="shared" si="0"/>
        <v>170000</v>
      </c>
      <c r="J10" s="15"/>
      <c r="K10" s="11"/>
      <c r="L10" s="15"/>
    </row>
    <row r="11" spans="1:14" x14ac:dyDescent="0.25">
      <c r="A11" s="9"/>
      <c r="B11" s="10"/>
      <c r="C11" s="9"/>
      <c r="D11" s="15"/>
      <c r="E11" s="9"/>
      <c r="F11" s="15"/>
      <c r="G11" s="17"/>
      <c r="H11" s="13">
        <f t="shared" si="0"/>
        <v>0</v>
      </c>
      <c r="J11" s="15"/>
      <c r="K11" s="11"/>
      <c r="L11" s="15"/>
    </row>
    <row r="12" spans="1:14" x14ac:dyDescent="0.25">
      <c r="A12" s="9"/>
      <c r="B12" s="10">
        <v>9943175</v>
      </c>
      <c r="C12" s="9" t="s">
        <v>102</v>
      </c>
      <c r="D12" s="15">
        <v>874000</v>
      </c>
      <c r="E12" s="9" t="s">
        <v>36</v>
      </c>
      <c r="F12" s="15">
        <v>1000000</v>
      </c>
      <c r="G12" s="17">
        <v>11</v>
      </c>
      <c r="H12" s="13">
        <f t="shared" si="0"/>
        <v>126000</v>
      </c>
      <c r="J12" s="15">
        <v>17480</v>
      </c>
      <c r="K12" s="11" t="s">
        <v>37</v>
      </c>
      <c r="L12" s="15">
        <v>25000</v>
      </c>
    </row>
    <row r="13" spans="1:14" x14ac:dyDescent="0.25">
      <c r="A13" s="9"/>
      <c r="B13" s="10">
        <v>9943178</v>
      </c>
      <c r="C13" s="9" t="s">
        <v>103</v>
      </c>
      <c r="D13" s="15">
        <v>587500</v>
      </c>
      <c r="E13" s="9" t="s">
        <v>41</v>
      </c>
      <c r="F13" s="15">
        <v>900000</v>
      </c>
      <c r="G13" s="17">
        <v>7</v>
      </c>
      <c r="H13" s="13">
        <f t="shared" si="0"/>
        <v>312500</v>
      </c>
      <c r="J13" s="15"/>
      <c r="K13" s="11"/>
      <c r="L13" s="15"/>
    </row>
    <row r="14" spans="1:14" x14ac:dyDescent="0.25">
      <c r="A14" s="9"/>
      <c r="B14" s="10">
        <v>9943180</v>
      </c>
      <c r="C14" s="9" t="s">
        <v>104</v>
      </c>
      <c r="D14" s="15">
        <v>511000</v>
      </c>
      <c r="E14" s="9" t="s">
        <v>42</v>
      </c>
      <c r="F14" s="15">
        <v>650000</v>
      </c>
      <c r="G14" s="17">
        <v>5</v>
      </c>
      <c r="H14" s="13">
        <f t="shared" si="0"/>
        <v>139000</v>
      </c>
      <c r="J14" s="15"/>
      <c r="K14" s="11"/>
      <c r="L14" s="15"/>
    </row>
    <row r="15" spans="1:14" x14ac:dyDescent="0.25">
      <c r="A15" s="9"/>
      <c r="B15" s="10"/>
      <c r="C15" s="9"/>
      <c r="D15" s="15"/>
      <c r="E15" s="9"/>
      <c r="F15" s="15"/>
      <c r="G15" s="17"/>
      <c r="H15" s="13">
        <f t="shared" si="0"/>
        <v>0</v>
      </c>
      <c r="J15" s="15"/>
      <c r="K15" s="11"/>
      <c r="L15" s="15"/>
    </row>
    <row r="16" spans="1:14" x14ac:dyDescent="0.25">
      <c r="A16" s="9"/>
      <c r="B16" s="10">
        <v>9943177</v>
      </c>
      <c r="C16" s="9" t="s">
        <v>105</v>
      </c>
      <c r="D16" s="15">
        <v>787000</v>
      </c>
      <c r="E16" s="9" t="s">
        <v>39</v>
      </c>
      <c r="F16" s="15">
        <v>975000</v>
      </c>
      <c r="G16" s="17">
        <v>10</v>
      </c>
      <c r="H16" s="13">
        <f t="shared" si="0"/>
        <v>188000</v>
      </c>
      <c r="J16" s="15">
        <v>17740</v>
      </c>
      <c r="K16" s="11" t="s">
        <v>40</v>
      </c>
      <c r="L16" s="15">
        <v>23000</v>
      </c>
    </row>
    <row r="17" spans="1:14" x14ac:dyDescent="0.25">
      <c r="A17" s="9"/>
      <c r="B17" s="10">
        <v>9943187</v>
      </c>
      <c r="C17" s="9" t="s">
        <v>106</v>
      </c>
      <c r="D17" s="15">
        <v>540000</v>
      </c>
      <c r="E17" s="9" t="s">
        <v>50</v>
      </c>
      <c r="F17" s="15">
        <v>700000</v>
      </c>
      <c r="G17" s="17">
        <v>5</v>
      </c>
      <c r="H17" s="13">
        <f t="shared" si="0"/>
        <v>160000</v>
      </c>
      <c r="J17" s="15"/>
      <c r="K17" s="11"/>
      <c r="L17" s="15"/>
    </row>
    <row r="18" spans="1:14" x14ac:dyDescent="0.25">
      <c r="A18" s="9"/>
      <c r="B18" s="10">
        <v>9943181</v>
      </c>
      <c r="C18" s="9" t="s">
        <v>128</v>
      </c>
      <c r="D18" s="15">
        <v>445000</v>
      </c>
      <c r="E18" s="9" t="s">
        <v>43</v>
      </c>
      <c r="F18" s="15">
        <v>575000</v>
      </c>
      <c r="G18" s="17">
        <v>3</v>
      </c>
      <c r="H18" s="13">
        <f t="shared" si="0"/>
        <v>130000</v>
      </c>
      <c r="J18" s="15"/>
      <c r="K18" s="11"/>
      <c r="L18" s="15"/>
    </row>
    <row r="19" spans="1:14" x14ac:dyDescent="0.25">
      <c r="A19" s="9"/>
      <c r="B19" s="10">
        <v>9943189</v>
      </c>
      <c r="C19" s="9" t="s">
        <v>107</v>
      </c>
      <c r="D19" s="15">
        <v>616500</v>
      </c>
      <c r="E19" s="9" t="s">
        <v>51</v>
      </c>
      <c r="F19" s="15">
        <v>775000</v>
      </c>
      <c r="G19" s="17">
        <v>2</v>
      </c>
      <c r="H19" s="13">
        <f t="shared" si="0"/>
        <v>158500</v>
      </c>
      <c r="J19" s="15"/>
      <c r="K19" s="11"/>
      <c r="L19" s="15"/>
    </row>
    <row r="20" spans="1:14" x14ac:dyDescent="0.25">
      <c r="A20" s="9"/>
      <c r="B20" s="10"/>
      <c r="C20" s="9"/>
      <c r="D20" s="15"/>
      <c r="E20" s="9"/>
      <c r="F20" s="15"/>
      <c r="G20" s="17"/>
      <c r="H20" s="13">
        <f t="shared" si="0"/>
        <v>0</v>
      </c>
      <c r="J20" s="15"/>
      <c r="K20" s="11"/>
      <c r="L20" s="15"/>
    </row>
    <row r="21" spans="1:14" x14ac:dyDescent="0.25">
      <c r="A21" s="9"/>
      <c r="B21" s="10">
        <v>9943186</v>
      </c>
      <c r="C21" s="9" t="s">
        <v>108</v>
      </c>
      <c r="D21" s="15">
        <v>550000</v>
      </c>
      <c r="E21" s="9" t="s">
        <v>48</v>
      </c>
      <c r="F21" s="15">
        <v>675000</v>
      </c>
      <c r="G21" s="17">
        <v>7</v>
      </c>
      <c r="H21" s="13">
        <f t="shared" si="0"/>
        <v>125000</v>
      </c>
      <c r="J21" s="15"/>
      <c r="K21" s="11"/>
      <c r="L21" s="15"/>
    </row>
    <row r="22" spans="1:14" x14ac:dyDescent="0.25">
      <c r="A22" s="9"/>
      <c r="B22" s="10">
        <v>9943188</v>
      </c>
      <c r="C22" s="9" t="s">
        <v>109</v>
      </c>
      <c r="D22" s="15">
        <v>400000</v>
      </c>
      <c r="E22" s="9" t="s">
        <v>49</v>
      </c>
      <c r="F22" s="15">
        <v>500000</v>
      </c>
      <c r="G22" s="17">
        <v>4</v>
      </c>
      <c r="H22" s="13">
        <f t="shared" si="0"/>
        <v>100000</v>
      </c>
      <c r="J22" s="15"/>
      <c r="K22" s="11"/>
      <c r="L22" s="15"/>
    </row>
    <row r="23" spans="1:14" s="13" customFormat="1" x14ac:dyDescent="0.25">
      <c r="A23" s="9"/>
      <c r="B23" s="10"/>
      <c r="C23" s="9"/>
      <c r="D23" s="15"/>
      <c r="E23" s="9"/>
      <c r="F23" s="15"/>
      <c r="G23" s="17"/>
      <c r="I23"/>
      <c r="J23" s="15"/>
      <c r="K23" s="11"/>
      <c r="L23" s="15"/>
      <c r="N23"/>
    </row>
    <row r="24" spans="1:14" s="13" customFormat="1" x14ac:dyDescent="0.25">
      <c r="A24" s="9"/>
      <c r="B24" s="10"/>
      <c r="C24" s="9"/>
      <c r="D24" s="15"/>
      <c r="E24" s="9"/>
      <c r="F24" s="15"/>
      <c r="G24" s="17"/>
      <c r="I24"/>
      <c r="J24" s="15"/>
      <c r="K24" s="11"/>
      <c r="L24" s="15"/>
      <c r="N24"/>
    </row>
    <row r="25" spans="1:14" s="13" customFormat="1" x14ac:dyDescent="0.25">
      <c r="A25" s="9"/>
      <c r="B25" s="10"/>
      <c r="C25" s="9"/>
      <c r="D25" s="15"/>
      <c r="E25" s="9"/>
      <c r="F25" s="15"/>
      <c r="G25" s="17"/>
      <c r="I25"/>
      <c r="J25" s="15"/>
      <c r="K25" s="11"/>
      <c r="L25" s="15"/>
      <c r="N25"/>
    </row>
    <row r="26" spans="1:14" s="13" customFormat="1" x14ac:dyDescent="0.25">
      <c r="A26" s="9"/>
      <c r="B26" s="10"/>
      <c r="C26" s="9"/>
      <c r="D26" s="15"/>
      <c r="E26" s="9"/>
      <c r="F26" s="15"/>
      <c r="G26" s="17"/>
      <c r="I26"/>
      <c r="J26" s="15"/>
      <c r="K26" s="11"/>
      <c r="L26" s="15"/>
      <c r="N26"/>
    </row>
    <row r="27" spans="1:14" s="13" customFormat="1" x14ac:dyDescent="0.25">
      <c r="A27" s="9"/>
      <c r="B27" s="10"/>
      <c r="C27" s="9"/>
      <c r="D27" s="15"/>
      <c r="E27" s="9"/>
      <c r="F27" s="15"/>
      <c r="G27" s="17"/>
      <c r="I27"/>
      <c r="J27" s="15"/>
      <c r="K27" s="11"/>
      <c r="L27" s="15"/>
      <c r="N27"/>
    </row>
    <row r="1048520" spans="1:14" s="3" customFormat="1" x14ac:dyDescent="0.25">
      <c r="A1048520"/>
      <c r="B1048520" s="1"/>
      <c r="C1048520"/>
      <c r="D1048520" s="13"/>
      <c r="E1048520"/>
      <c r="F1048520" s="15"/>
      <c r="G1048520" s="18"/>
      <c r="H1048520" s="13"/>
      <c r="I1048520"/>
      <c r="J1048520" s="13"/>
      <c r="L1048520" s="13"/>
      <c r="M1048520" s="13"/>
      <c r="N1048520"/>
    </row>
  </sheetData>
  <conditionalFormatting sqref="A3">
    <cfRule type="duplicateValues" dxfId="23" priority="3"/>
    <cfRule type="duplicateValues" dxfId="22" priority="6"/>
  </conditionalFormatting>
  <conditionalFormatting sqref="B2:B3">
    <cfRule type="duplicateValues" dxfId="21" priority="2"/>
  </conditionalFormatting>
  <conditionalFormatting sqref="B3">
    <cfRule type="duplicateValues" dxfId="20" priority="4"/>
    <cfRule type="duplicateValues" dxfId="19" priority="5"/>
  </conditionalFormatting>
  <conditionalFormatting sqref="A1:B1048576">
    <cfRule type="duplicateValues" dxfId="18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75A7-4649-45B6-90D8-54FBE6ECA0BE}">
  <dimension ref="A1:N1048521"/>
  <sheetViews>
    <sheetView tabSelected="1" workbookViewId="0">
      <pane ySplit="3" topLeftCell="A7" activePane="bottomLeft" state="frozen"/>
      <selection pane="bottomLeft" activeCell="J27" sqref="J27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6.7109375" style="13" bestFit="1" customWidth="1"/>
    <col min="5" max="5" width="16.85546875" bestFit="1" customWidth="1"/>
    <col min="6" max="6" width="17.5703125" style="13" customWidth="1"/>
    <col min="7" max="7" width="9.140625" style="18" bestFit="1" customWidth="1"/>
    <col min="8" max="8" width="14.5703125" style="13" customWidth="1"/>
    <col min="9" max="9" width="7.28515625" customWidth="1"/>
    <col min="10" max="10" width="17.28515625" style="13" customWidth="1"/>
    <col min="11" max="11" width="15.85546875" style="3" bestFit="1" customWidth="1"/>
    <col min="12" max="12" width="16" style="13" customWidth="1"/>
    <col min="13" max="13" width="13.5703125" style="13" customWidth="1"/>
    <col min="14" max="14" width="12.42578125" customWidth="1"/>
  </cols>
  <sheetData>
    <row r="1" spans="1:14" x14ac:dyDescent="0.25">
      <c r="C1" s="2" t="s">
        <v>131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16" t="s">
        <v>5</v>
      </c>
      <c r="K3" s="12" t="s">
        <v>6</v>
      </c>
      <c r="L3" s="16" t="s">
        <v>7</v>
      </c>
      <c r="N3" s="8"/>
    </row>
    <row r="4" spans="1:14" x14ac:dyDescent="0.25">
      <c r="A4" s="9"/>
      <c r="B4" s="10">
        <v>9943190</v>
      </c>
      <c r="C4" s="9" t="s">
        <v>110</v>
      </c>
      <c r="D4" s="15"/>
      <c r="E4" s="9"/>
      <c r="F4" s="15"/>
      <c r="G4" s="17"/>
      <c r="H4" s="13">
        <f>F4-D4</f>
        <v>0</v>
      </c>
      <c r="J4" s="15"/>
      <c r="K4" s="11"/>
      <c r="L4" s="15"/>
      <c r="M4" s="13">
        <f>L4-J4</f>
        <v>0</v>
      </c>
    </row>
    <row r="5" spans="1:14" x14ac:dyDescent="0.25">
      <c r="A5" s="9"/>
      <c r="B5" s="10">
        <v>9943191</v>
      </c>
      <c r="C5" s="9" t="s">
        <v>118</v>
      </c>
      <c r="D5" s="15">
        <v>1211000</v>
      </c>
      <c r="E5" s="9" t="s">
        <v>61</v>
      </c>
      <c r="F5" s="15">
        <v>1550000</v>
      </c>
      <c r="G5" s="17">
        <v>3</v>
      </c>
      <c r="H5" s="13">
        <f t="shared" ref="H5:H26" si="0">F5-D5</f>
        <v>339000</v>
      </c>
      <c r="J5" s="15">
        <v>12000</v>
      </c>
      <c r="K5" s="11" t="s">
        <v>63</v>
      </c>
      <c r="L5" s="15">
        <v>17000</v>
      </c>
      <c r="M5" s="13">
        <f t="shared" ref="M5:M23" si="1">L5-J5</f>
        <v>5000</v>
      </c>
    </row>
    <row r="6" spans="1:14" x14ac:dyDescent="0.25">
      <c r="A6" s="9"/>
      <c r="B6" s="10">
        <v>9943192</v>
      </c>
      <c r="C6" s="9" t="s">
        <v>119</v>
      </c>
      <c r="D6" s="15">
        <v>930000</v>
      </c>
      <c r="E6" s="9" t="s">
        <v>64</v>
      </c>
      <c r="F6" s="15">
        <v>1200000</v>
      </c>
      <c r="G6" s="17">
        <v>8</v>
      </c>
      <c r="H6" s="13">
        <f t="shared" si="0"/>
        <v>270000</v>
      </c>
      <c r="J6" s="15"/>
      <c r="K6" s="11"/>
      <c r="L6" s="15"/>
      <c r="M6" s="13">
        <f t="shared" si="1"/>
        <v>0</v>
      </c>
    </row>
    <row r="7" spans="1:14" x14ac:dyDescent="0.25">
      <c r="A7" s="9"/>
      <c r="B7" s="10">
        <v>9943193</v>
      </c>
      <c r="C7" s="9" t="s">
        <v>120</v>
      </c>
      <c r="D7" s="15">
        <v>665000</v>
      </c>
      <c r="E7" s="9" t="s">
        <v>65</v>
      </c>
      <c r="F7" s="15">
        <v>800000</v>
      </c>
      <c r="G7" s="17">
        <v>3</v>
      </c>
      <c r="H7" s="13">
        <f t="shared" si="0"/>
        <v>135000</v>
      </c>
      <c r="J7" s="15">
        <v>6650</v>
      </c>
      <c r="K7" s="11" t="s">
        <v>66</v>
      </c>
      <c r="L7" s="15">
        <v>12000</v>
      </c>
      <c r="M7" s="13">
        <f t="shared" si="1"/>
        <v>5350</v>
      </c>
    </row>
    <row r="8" spans="1:14" x14ac:dyDescent="0.25">
      <c r="A8" s="9"/>
      <c r="B8" s="10">
        <v>9943194</v>
      </c>
      <c r="C8" s="9" t="s">
        <v>121</v>
      </c>
      <c r="D8" s="15">
        <v>830000</v>
      </c>
      <c r="E8" s="9" t="s">
        <v>67</v>
      </c>
      <c r="F8" s="15">
        <v>1350000</v>
      </c>
      <c r="G8" s="17">
        <v>3</v>
      </c>
      <c r="H8" s="13">
        <f t="shared" si="0"/>
        <v>520000</v>
      </c>
      <c r="J8" s="15">
        <v>8300</v>
      </c>
      <c r="K8" s="11" t="s">
        <v>68</v>
      </c>
      <c r="L8" s="15">
        <v>15000</v>
      </c>
      <c r="M8" s="13">
        <f t="shared" si="1"/>
        <v>6700</v>
      </c>
    </row>
    <row r="9" spans="1:14" x14ac:dyDescent="0.25">
      <c r="A9" s="9"/>
      <c r="B9" s="10">
        <v>9943195</v>
      </c>
      <c r="C9" s="9" t="s">
        <v>110</v>
      </c>
      <c r="D9" s="15">
        <v>1150000</v>
      </c>
      <c r="E9" s="9" t="s">
        <v>193</v>
      </c>
      <c r="F9" s="15">
        <v>1575000</v>
      </c>
      <c r="G9" s="17">
        <v>6</v>
      </c>
      <c r="H9" s="13">
        <f t="shared" si="0"/>
        <v>425000</v>
      </c>
      <c r="J9" s="15">
        <v>11500</v>
      </c>
      <c r="K9" s="11" t="s">
        <v>194</v>
      </c>
      <c r="L9" s="15">
        <v>17000</v>
      </c>
      <c r="M9" s="13">
        <f t="shared" si="1"/>
        <v>5500</v>
      </c>
    </row>
    <row r="10" spans="1:14" x14ac:dyDescent="0.25">
      <c r="A10" s="9"/>
      <c r="B10" s="10">
        <v>9943196</v>
      </c>
      <c r="C10" s="9" t="s">
        <v>124</v>
      </c>
      <c r="D10" s="15">
        <v>784000</v>
      </c>
      <c r="E10" s="9" t="s">
        <v>72</v>
      </c>
      <c r="F10" s="15">
        <v>1050000</v>
      </c>
      <c r="G10" s="17">
        <v>2</v>
      </c>
      <c r="H10" s="13">
        <f t="shared" si="0"/>
        <v>266000</v>
      </c>
      <c r="J10" s="15">
        <v>7800</v>
      </c>
      <c r="K10" s="11" t="s">
        <v>73</v>
      </c>
      <c r="L10" s="15">
        <v>14000</v>
      </c>
      <c r="M10" s="13">
        <f t="shared" si="1"/>
        <v>6200</v>
      </c>
    </row>
    <row r="11" spans="1:14" x14ac:dyDescent="0.25">
      <c r="A11" s="9"/>
      <c r="B11" s="10">
        <v>9943197</v>
      </c>
      <c r="C11" s="9" t="s">
        <v>125</v>
      </c>
      <c r="D11" s="15"/>
      <c r="E11" s="9"/>
      <c r="F11" s="15"/>
      <c r="G11" s="17">
        <v>12</v>
      </c>
      <c r="H11" s="13">
        <f t="shared" si="0"/>
        <v>0</v>
      </c>
      <c r="J11" s="15"/>
      <c r="K11" s="11"/>
      <c r="L11" s="15"/>
      <c r="M11" s="13">
        <f t="shared" si="1"/>
        <v>0</v>
      </c>
    </row>
    <row r="12" spans="1:14" x14ac:dyDescent="0.25">
      <c r="A12" s="9"/>
      <c r="B12" s="10">
        <v>9943198</v>
      </c>
      <c r="C12" s="9" t="s">
        <v>126</v>
      </c>
      <c r="D12" s="15"/>
      <c r="E12" s="9"/>
      <c r="F12" s="15"/>
      <c r="G12" s="17">
        <v>3</v>
      </c>
      <c r="H12" s="13">
        <f t="shared" si="0"/>
        <v>0</v>
      </c>
      <c r="J12" s="15"/>
      <c r="K12" s="11"/>
      <c r="L12" s="15"/>
      <c r="M12" s="13">
        <f t="shared" si="1"/>
        <v>0</v>
      </c>
    </row>
    <row r="13" spans="1:14" x14ac:dyDescent="0.25">
      <c r="A13" s="9"/>
      <c r="B13" s="10">
        <v>9943199</v>
      </c>
      <c r="C13" s="9" t="s">
        <v>122</v>
      </c>
      <c r="D13" s="15">
        <v>880000</v>
      </c>
      <c r="E13" s="9" t="s">
        <v>69</v>
      </c>
      <c r="F13" s="15">
        <v>1275000</v>
      </c>
      <c r="G13" s="17">
        <v>1</v>
      </c>
      <c r="H13" s="13">
        <f t="shared" si="0"/>
        <v>395000</v>
      </c>
      <c r="J13" s="15"/>
      <c r="K13" s="11"/>
      <c r="L13" s="15">
        <v>15000</v>
      </c>
      <c r="M13" s="13">
        <f t="shared" si="1"/>
        <v>15000</v>
      </c>
    </row>
    <row r="14" spans="1:14" x14ac:dyDescent="0.25">
      <c r="A14" s="9"/>
      <c r="B14" s="10">
        <v>9943200</v>
      </c>
      <c r="C14" s="9" t="s">
        <v>195</v>
      </c>
      <c r="D14" s="15">
        <v>675000</v>
      </c>
      <c r="E14" s="9" t="s">
        <v>196</v>
      </c>
      <c r="F14" s="15">
        <v>950000</v>
      </c>
      <c r="G14" s="17">
        <v>1</v>
      </c>
      <c r="H14" s="13">
        <f t="shared" si="0"/>
        <v>275000</v>
      </c>
      <c r="J14" s="15">
        <v>7500</v>
      </c>
      <c r="K14" s="11" t="s">
        <v>197</v>
      </c>
      <c r="L14" s="15">
        <v>14000</v>
      </c>
      <c r="M14" s="13">
        <f t="shared" si="1"/>
        <v>6500</v>
      </c>
    </row>
    <row r="15" spans="1:14" x14ac:dyDescent="0.25">
      <c r="A15" s="9"/>
      <c r="B15" s="10"/>
      <c r="C15" s="9"/>
      <c r="D15" s="15"/>
      <c r="E15" s="9"/>
      <c r="F15" s="15"/>
      <c r="G15" s="17"/>
      <c r="H15" s="13">
        <f t="shared" si="0"/>
        <v>0</v>
      </c>
      <c r="J15" s="15"/>
      <c r="K15" s="11"/>
      <c r="L15" s="15"/>
      <c r="M15" s="13">
        <f t="shared" si="1"/>
        <v>0</v>
      </c>
    </row>
    <row r="16" spans="1:14" x14ac:dyDescent="0.25">
      <c r="A16" s="9"/>
      <c r="B16" s="10">
        <v>8997235</v>
      </c>
      <c r="C16" s="9" t="s">
        <v>111</v>
      </c>
      <c r="D16" s="15">
        <v>1175000</v>
      </c>
      <c r="E16" s="9" t="s">
        <v>53</v>
      </c>
      <c r="F16" s="15">
        <v>1700000</v>
      </c>
      <c r="G16" s="17">
        <v>8</v>
      </c>
      <c r="H16" s="13">
        <f t="shared" si="0"/>
        <v>525000</v>
      </c>
      <c r="J16" s="15"/>
      <c r="K16" s="11"/>
      <c r="L16" s="15">
        <v>20000</v>
      </c>
      <c r="M16" s="13">
        <f t="shared" si="1"/>
        <v>20000</v>
      </c>
    </row>
    <row r="17" spans="1:13" x14ac:dyDescent="0.25">
      <c r="A17" s="9"/>
      <c r="B17" s="10">
        <v>8997236</v>
      </c>
      <c r="C17" s="9" t="s">
        <v>112</v>
      </c>
      <c r="D17" s="15">
        <v>1200000</v>
      </c>
      <c r="E17" s="9" t="s">
        <v>52</v>
      </c>
      <c r="F17" s="15">
        <v>1400000</v>
      </c>
      <c r="G17" s="17">
        <v>3</v>
      </c>
      <c r="H17" s="13">
        <f t="shared" si="0"/>
        <v>200000</v>
      </c>
      <c r="J17" s="15">
        <v>12000</v>
      </c>
      <c r="K17" s="11" t="s">
        <v>54</v>
      </c>
      <c r="L17" s="15">
        <v>25000</v>
      </c>
      <c r="M17" s="13">
        <f t="shared" si="1"/>
        <v>13000</v>
      </c>
    </row>
    <row r="18" spans="1:13" x14ac:dyDescent="0.25">
      <c r="A18" s="9"/>
      <c r="B18" s="10">
        <v>8997237</v>
      </c>
      <c r="C18" s="9" t="s">
        <v>113</v>
      </c>
      <c r="D18" s="15">
        <v>1170000</v>
      </c>
      <c r="E18" s="9" t="s">
        <v>55</v>
      </c>
      <c r="F18" s="15">
        <v>1385000</v>
      </c>
      <c r="G18" s="17">
        <v>7</v>
      </c>
      <c r="H18" s="13">
        <f t="shared" si="0"/>
        <v>215000</v>
      </c>
      <c r="J18" s="15">
        <v>11700</v>
      </c>
      <c r="K18" s="11" t="s">
        <v>55</v>
      </c>
      <c r="L18" s="15">
        <v>17000</v>
      </c>
      <c r="M18" s="13">
        <f t="shared" si="1"/>
        <v>5300</v>
      </c>
    </row>
    <row r="19" spans="1:13" x14ac:dyDescent="0.25">
      <c r="A19" s="9"/>
      <c r="B19" s="10">
        <v>8997238</v>
      </c>
      <c r="C19" s="9" t="s">
        <v>114</v>
      </c>
      <c r="D19" s="15">
        <v>1019000</v>
      </c>
      <c r="E19" s="9" t="s">
        <v>56</v>
      </c>
      <c r="F19" s="15">
        <v>1350000</v>
      </c>
      <c r="G19" s="17">
        <v>5</v>
      </c>
      <c r="H19" s="13">
        <f t="shared" si="0"/>
        <v>331000</v>
      </c>
      <c r="J19" s="15">
        <v>11300</v>
      </c>
      <c r="K19" s="11" t="s">
        <v>57</v>
      </c>
      <c r="L19" s="15">
        <v>15000</v>
      </c>
      <c r="M19" s="13">
        <f t="shared" si="1"/>
        <v>3700</v>
      </c>
    </row>
    <row r="20" spans="1:13" x14ac:dyDescent="0.25">
      <c r="A20" s="9"/>
      <c r="B20" s="10">
        <v>8997239</v>
      </c>
      <c r="C20" s="9" t="s">
        <v>115</v>
      </c>
      <c r="D20" s="15">
        <v>821300</v>
      </c>
      <c r="E20" s="9" t="s">
        <v>58</v>
      </c>
      <c r="F20" s="15">
        <v>935000</v>
      </c>
      <c r="G20" s="17">
        <v>4</v>
      </c>
      <c r="H20" s="13">
        <f t="shared" si="0"/>
        <v>113700</v>
      </c>
      <c r="J20" s="15">
        <v>9600</v>
      </c>
      <c r="K20" s="11" t="s">
        <v>59</v>
      </c>
      <c r="L20" s="15">
        <v>15000</v>
      </c>
      <c r="M20" s="13">
        <f t="shared" si="1"/>
        <v>5400</v>
      </c>
    </row>
    <row r="21" spans="1:13" x14ac:dyDescent="0.25">
      <c r="A21" s="9"/>
      <c r="B21" s="10">
        <v>8997240</v>
      </c>
      <c r="C21" s="9" t="s">
        <v>116</v>
      </c>
      <c r="D21" s="15">
        <v>750000</v>
      </c>
      <c r="E21" s="9" t="s">
        <v>60</v>
      </c>
      <c r="F21" s="15">
        <v>875000</v>
      </c>
      <c r="G21" s="17">
        <v>1</v>
      </c>
      <c r="H21" s="13">
        <f t="shared" si="0"/>
        <v>125000</v>
      </c>
      <c r="J21" s="15"/>
      <c r="K21" s="11"/>
      <c r="L21" s="15">
        <v>10000</v>
      </c>
      <c r="M21" s="13">
        <f t="shared" si="1"/>
        <v>10000</v>
      </c>
    </row>
    <row r="22" spans="1:13" x14ac:dyDescent="0.25">
      <c r="A22" s="9"/>
      <c r="B22" s="10">
        <v>8997241</v>
      </c>
      <c r="C22" s="9" t="s">
        <v>117</v>
      </c>
      <c r="D22" s="15">
        <v>1748000</v>
      </c>
      <c r="E22" s="9" t="s">
        <v>62</v>
      </c>
      <c r="F22" s="15">
        <v>1900000</v>
      </c>
      <c r="G22" s="17">
        <v>2</v>
      </c>
      <c r="H22" s="13">
        <f t="shared" si="0"/>
        <v>152000</v>
      </c>
      <c r="J22" s="15">
        <v>17480</v>
      </c>
      <c r="K22" s="11" t="s">
        <v>37</v>
      </c>
      <c r="L22" s="15">
        <v>25000</v>
      </c>
      <c r="M22" s="13">
        <f t="shared" si="1"/>
        <v>7520</v>
      </c>
    </row>
    <row r="23" spans="1:13" x14ac:dyDescent="0.25">
      <c r="A23" s="9"/>
      <c r="B23" s="10">
        <v>8997242</v>
      </c>
      <c r="C23" s="9" t="s">
        <v>123</v>
      </c>
      <c r="D23" s="15">
        <v>1340000</v>
      </c>
      <c r="E23" s="9" t="s">
        <v>70</v>
      </c>
      <c r="F23" s="15">
        <v>1750000</v>
      </c>
      <c r="G23" s="17">
        <v>1</v>
      </c>
      <c r="H23" s="13">
        <f t="shared" si="0"/>
        <v>410000</v>
      </c>
      <c r="J23" s="15">
        <v>13400</v>
      </c>
      <c r="K23" s="11" t="s">
        <v>71</v>
      </c>
      <c r="L23" s="15">
        <v>20000</v>
      </c>
      <c r="M23" s="13">
        <f t="shared" si="1"/>
        <v>6600</v>
      </c>
    </row>
    <row r="24" spans="1:13" x14ac:dyDescent="0.25">
      <c r="A24" s="9"/>
      <c r="B24" s="10">
        <v>8997243</v>
      </c>
      <c r="C24" s="9" t="s">
        <v>127</v>
      </c>
      <c r="D24" s="15">
        <v>620000</v>
      </c>
      <c r="E24" s="9" t="s">
        <v>74</v>
      </c>
      <c r="F24" s="15">
        <v>750000</v>
      </c>
      <c r="G24" s="17"/>
      <c r="H24" s="13">
        <f t="shared" si="0"/>
        <v>130000</v>
      </c>
      <c r="J24" s="15"/>
      <c r="K24" s="11"/>
      <c r="L24" s="15"/>
    </row>
    <row r="25" spans="1:13" x14ac:dyDescent="0.25">
      <c r="A25" s="9"/>
      <c r="B25" s="10">
        <v>8997244</v>
      </c>
      <c r="C25" s="9" t="s">
        <v>198</v>
      </c>
      <c r="D25" s="15">
        <v>336000</v>
      </c>
      <c r="E25" s="9" t="s">
        <v>200</v>
      </c>
      <c r="F25" s="15">
        <v>525000</v>
      </c>
      <c r="G25" s="17">
        <v>5</v>
      </c>
      <c r="H25" s="13">
        <f t="shared" si="0"/>
        <v>189000</v>
      </c>
      <c r="J25" s="15">
        <v>3700</v>
      </c>
      <c r="K25" s="11" t="s">
        <v>202</v>
      </c>
      <c r="L25" s="15">
        <v>10000</v>
      </c>
    </row>
    <row r="26" spans="1:13" x14ac:dyDescent="0.25">
      <c r="A26" s="9"/>
      <c r="B26" s="10">
        <v>8997245</v>
      </c>
      <c r="C26" s="9" t="s">
        <v>199</v>
      </c>
      <c r="D26" s="15">
        <v>456000</v>
      </c>
      <c r="E26" s="9" t="s">
        <v>201</v>
      </c>
      <c r="F26" s="15">
        <v>650000</v>
      </c>
      <c r="G26" s="17">
        <v>3</v>
      </c>
      <c r="H26" s="13">
        <f t="shared" si="0"/>
        <v>194000</v>
      </c>
      <c r="J26" s="15">
        <v>5000</v>
      </c>
      <c r="K26" s="11" t="s">
        <v>203</v>
      </c>
      <c r="L26" s="15">
        <v>12000</v>
      </c>
    </row>
    <row r="27" spans="1:13" x14ac:dyDescent="0.25">
      <c r="A27" s="9"/>
      <c r="B27" s="10"/>
      <c r="C27" s="9"/>
      <c r="D27" s="15"/>
      <c r="E27" s="9"/>
      <c r="F27" s="15"/>
      <c r="G27" s="17"/>
      <c r="J27" s="15"/>
      <c r="K27" s="11"/>
      <c r="L27" s="15"/>
    </row>
    <row r="28" spans="1:13" x14ac:dyDescent="0.25">
      <c r="A28" s="9"/>
      <c r="B28" s="10"/>
      <c r="C28" s="9"/>
      <c r="D28" s="15"/>
      <c r="E28" s="9"/>
      <c r="F28" s="15"/>
      <c r="G28" s="17"/>
      <c r="J28" s="15"/>
      <c r="K28" s="11"/>
      <c r="L28" s="15"/>
    </row>
    <row r="1048521" spans="1:14" s="3" customFormat="1" x14ac:dyDescent="0.25">
      <c r="A1048521"/>
      <c r="B1048521" s="1"/>
      <c r="C1048521"/>
      <c r="D1048521" s="13"/>
      <c r="E1048521"/>
      <c r="F1048521" s="15"/>
      <c r="G1048521" s="18"/>
      <c r="H1048521" s="13"/>
      <c r="I1048521"/>
      <c r="J1048521" s="13"/>
      <c r="L1048521" s="13"/>
      <c r="M1048521" s="13"/>
      <c r="N1048521"/>
    </row>
  </sheetData>
  <phoneticPr fontId="4" type="noConversion"/>
  <conditionalFormatting sqref="A3">
    <cfRule type="duplicateValues" dxfId="17" priority="3"/>
    <cfRule type="duplicateValues" dxfId="16" priority="6"/>
  </conditionalFormatting>
  <conditionalFormatting sqref="B2:B3">
    <cfRule type="duplicateValues" dxfId="15" priority="2"/>
  </conditionalFormatting>
  <conditionalFormatting sqref="B3">
    <cfRule type="duplicateValues" dxfId="14" priority="4"/>
    <cfRule type="duplicateValues" dxfId="13" priority="5"/>
  </conditionalFormatting>
  <conditionalFormatting sqref="A1:B1048576">
    <cfRule type="duplicateValues" dxfId="12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F095-D83E-4476-B858-61B3A22A4A86}">
  <dimension ref="A1:J1048505"/>
  <sheetViews>
    <sheetView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6.7109375" style="13" bestFit="1" customWidth="1"/>
    <col min="5" max="5" width="18" customWidth="1"/>
    <col min="6" max="6" width="16.85546875" style="13" customWidth="1"/>
    <col min="7" max="7" width="9.140625" style="18" bestFit="1" customWidth="1"/>
    <col min="10" max="10" width="12.42578125" customWidth="1"/>
  </cols>
  <sheetData>
    <row r="1" spans="1:10" x14ac:dyDescent="0.25">
      <c r="C1" s="2" t="s">
        <v>85</v>
      </c>
    </row>
    <row r="2" spans="1:10" x14ac:dyDescent="0.25"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5" t="s">
        <v>94</v>
      </c>
      <c r="F3" s="14" t="s">
        <v>4</v>
      </c>
      <c r="G3" s="5" t="s">
        <v>95</v>
      </c>
      <c r="J3" s="8"/>
    </row>
    <row r="4" spans="1:10" x14ac:dyDescent="0.25">
      <c r="A4" s="9" t="s">
        <v>87</v>
      </c>
      <c r="B4" s="10">
        <v>378523</v>
      </c>
      <c r="C4" s="9" t="s">
        <v>86</v>
      </c>
      <c r="D4" s="15"/>
      <c r="E4" s="9"/>
      <c r="F4" s="15">
        <v>595000</v>
      </c>
      <c r="G4" s="17">
        <v>2</v>
      </c>
    </row>
    <row r="5" spans="1:10" x14ac:dyDescent="0.25">
      <c r="A5" s="9"/>
      <c r="B5" s="10"/>
      <c r="C5" s="9"/>
      <c r="D5" s="15"/>
      <c r="E5" s="9"/>
      <c r="F5" s="15"/>
      <c r="G5" s="17"/>
    </row>
    <row r="6" spans="1:10" x14ac:dyDescent="0.25">
      <c r="A6" s="9"/>
      <c r="B6" s="10"/>
      <c r="C6" s="9"/>
      <c r="D6" s="15"/>
      <c r="E6" s="9"/>
      <c r="F6" s="15"/>
      <c r="G6" s="17"/>
    </row>
    <row r="7" spans="1:10" x14ac:dyDescent="0.25">
      <c r="A7" s="9"/>
      <c r="B7" s="10"/>
      <c r="C7" s="9"/>
      <c r="D7" s="15"/>
      <c r="E7" s="9"/>
      <c r="F7" s="15"/>
      <c r="G7" s="17"/>
    </row>
    <row r="8" spans="1:10" x14ac:dyDescent="0.25">
      <c r="A8" s="9"/>
      <c r="B8" s="10"/>
      <c r="C8" s="9"/>
      <c r="D8" s="15"/>
      <c r="E8" s="9"/>
      <c r="F8" s="15"/>
      <c r="G8" s="17"/>
    </row>
    <row r="9" spans="1:10" x14ac:dyDescent="0.25">
      <c r="A9" s="9"/>
      <c r="B9" s="10"/>
      <c r="C9" s="9"/>
      <c r="D9" s="15"/>
      <c r="E9" s="9"/>
      <c r="F9" s="15"/>
      <c r="G9" s="17"/>
    </row>
    <row r="10" spans="1:10" x14ac:dyDescent="0.25">
      <c r="A10" s="9"/>
      <c r="B10" s="10"/>
      <c r="C10" s="9"/>
      <c r="D10" s="15"/>
      <c r="E10" s="9"/>
      <c r="F10" s="15"/>
      <c r="G10" s="17"/>
    </row>
    <row r="11" spans="1:10" x14ac:dyDescent="0.25">
      <c r="A11" s="9"/>
      <c r="B11" s="10"/>
      <c r="C11" s="9"/>
      <c r="D11" s="15"/>
      <c r="E11" s="9"/>
      <c r="F11" s="15"/>
      <c r="G11" s="17"/>
    </row>
    <row r="12" spans="1:10" x14ac:dyDescent="0.25">
      <c r="A12" s="9"/>
      <c r="B12" s="10"/>
      <c r="C12" s="9"/>
      <c r="D12" s="15"/>
      <c r="E12" s="9"/>
      <c r="F12" s="15"/>
      <c r="G12" s="17"/>
    </row>
    <row r="1048505" spans="1:10" s="3" customFormat="1" x14ac:dyDescent="0.25">
      <c r="A1048505"/>
      <c r="B1048505" s="1"/>
      <c r="C1048505"/>
      <c r="D1048505" s="13"/>
      <c r="E1048505"/>
      <c r="F1048505" s="15"/>
      <c r="G1048505" s="18"/>
      <c r="H1048505"/>
      <c r="I1048505"/>
      <c r="J1048505"/>
    </row>
  </sheetData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E746-03A4-4911-94C7-DCDE5A2D9953}">
  <dimension ref="A1:M1048504"/>
  <sheetViews>
    <sheetView workbookViewId="0">
      <pane ySplit="3" topLeftCell="A4" activePane="bottomLeft" state="frozen"/>
      <selection pane="bottomLeft" activeCell="H4" sqref="H4:H5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8.85546875" style="3" customWidth="1"/>
    <col min="5" max="5" width="19" style="3" customWidth="1"/>
    <col min="6" max="6" width="19.28515625" style="3" customWidth="1"/>
    <col min="7" max="7" width="9.140625" style="18" bestFit="1" customWidth="1"/>
    <col min="8" max="8" width="16.85546875" style="13" customWidth="1"/>
    <col min="9" max="9" width="7.7109375" customWidth="1"/>
    <col min="10" max="10" width="17.7109375" style="3" customWidth="1"/>
    <col min="11" max="11" width="17" customWidth="1"/>
    <col min="12" max="12" width="17.28515625" style="3" customWidth="1"/>
    <col min="13" max="13" width="12.42578125" style="13" customWidth="1"/>
  </cols>
  <sheetData>
    <row r="1" spans="1:13" x14ac:dyDescent="0.25">
      <c r="C1" s="2" t="s">
        <v>88</v>
      </c>
    </row>
    <row r="2" spans="1:13" x14ac:dyDescent="0.25">
      <c r="M2" s="19"/>
    </row>
    <row r="3" spans="1:13" ht="20.100000000000001" customHeight="1" x14ac:dyDescent="0.25">
      <c r="A3" s="5" t="s">
        <v>0</v>
      </c>
      <c r="B3" s="6" t="s">
        <v>1</v>
      </c>
      <c r="C3" s="5" t="s">
        <v>2</v>
      </c>
      <c r="D3" s="7" t="s">
        <v>5</v>
      </c>
      <c r="E3" s="7" t="s">
        <v>129</v>
      </c>
      <c r="F3" s="7" t="s">
        <v>7</v>
      </c>
      <c r="G3" s="5" t="s">
        <v>95</v>
      </c>
      <c r="J3" s="20" t="s">
        <v>3</v>
      </c>
      <c r="K3" s="12" t="s">
        <v>94</v>
      </c>
      <c r="L3" s="20" t="s">
        <v>4</v>
      </c>
    </row>
    <row r="4" spans="1:13" x14ac:dyDescent="0.25">
      <c r="A4" s="9" t="s">
        <v>92</v>
      </c>
      <c r="B4" s="10">
        <v>783561</v>
      </c>
      <c r="C4" s="9" t="s">
        <v>89</v>
      </c>
      <c r="D4" s="11">
        <v>5900</v>
      </c>
      <c r="E4" s="11" t="s">
        <v>91</v>
      </c>
      <c r="F4" s="11">
        <v>12000</v>
      </c>
      <c r="G4" s="17">
        <v>1</v>
      </c>
      <c r="H4" s="3">
        <f>F4-D4</f>
        <v>6100</v>
      </c>
      <c r="J4" s="11"/>
      <c r="K4" s="9"/>
      <c r="L4" s="11"/>
    </row>
    <row r="5" spans="1:13" x14ac:dyDescent="0.25">
      <c r="A5" s="9" t="s">
        <v>93</v>
      </c>
      <c r="B5" s="10">
        <v>783562</v>
      </c>
      <c r="C5" s="9" t="s">
        <v>90</v>
      </c>
      <c r="D5" s="11">
        <v>5900</v>
      </c>
      <c r="E5" s="11" t="s">
        <v>91</v>
      </c>
      <c r="F5" s="11">
        <v>12000</v>
      </c>
      <c r="G5" s="17">
        <v>1</v>
      </c>
      <c r="H5" s="3">
        <f>F5-D5</f>
        <v>6100</v>
      </c>
      <c r="J5" s="11"/>
      <c r="K5" s="9"/>
      <c r="L5" s="11"/>
    </row>
    <row r="6" spans="1:13" x14ac:dyDescent="0.25">
      <c r="A6" s="9"/>
      <c r="B6" s="10"/>
      <c r="C6" s="9"/>
      <c r="D6" s="11"/>
      <c r="E6" s="11"/>
      <c r="F6" s="11"/>
      <c r="G6" s="17"/>
      <c r="J6" s="11"/>
      <c r="K6" s="9"/>
      <c r="L6" s="11"/>
    </row>
    <row r="7" spans="1:13" x14ac:dyDescent="0.25">
      <c r="A7" s="9"/>
      <c r="B7" s="10"/>
      <c r="C7" s="9"/>
      <c r="D7" s="11"/>
      <c r="E7" s="11"/>
      <c r="F7" s="11"/>
      <c r="G7" s="17"/>
      <c r="J7" s="11"/>
      <c r="K7" s="9"/>
      <c r="L7" s="11"/>
    </row>
    <row r="8" spans="1:13" x14ac:dyDescent="0.25">
      <c r="A8" s="9"/>
      <c r="B8" s="10"/>
      <c r="C8" s="9"/>
      <c r="D8" s="11"/>
      <c r="E8" s="11"/>
      <c r="F8" s="11"/>
      <c r="G8" s="17"/>
      <c r="J8" s="11"/>
      <c r="K8" s="9"/>
      <c r="L8" s="11"/>
    </row>
    <row r="9" spans="1:13" x14ac:dyDescent="0.25">
      <c r="A9" s="9"/>
      <c r="B9" s="10"/>
      <c r="C9" s="9"/>
      <c r="D9" s="11"/>
      <c r="E9" s="11"/>
      <c r="F9" s="11"/>
      <c r="G9" s="17"/>
      <c r="J9" s="11"/>
      <c r="K9" s="9"/>
      <c r="L9" s="11"/>
    </row>
    <row r="10" spans="1:13" x14ac:dyDescent="0.25">
      <c r="A10" s="9"/>
      <c r="B10" s="10"/>
      <c r="C10" s="9"/>
      <c r="D10" s="11"/>
      <c r="E10" s="11"/>
      <c r="F10" s="11"/>
      <c r="G10" s="17"/>
      <c r="J10" s="11"/>
      <c r="K10" s="9"/>
      <c r="L10" s="11"/>
    </row>
    <row r="11" spans="1:13" x14ac:dyDescent="0.25">
      <c r="A11" s="9"/>
      <c r="B11" s="10"/>
      <c r="C11" s="9"/>
      <c r="D11" s="11"/>
      <c r="E11" s="11"/>
      <c r="F11" s="11"/>
      <c r="G11" s="17"/>
      <c r="J11" s="11"/>
      <c r="K11" s="9"/>
      <c r="L11" s="11"/>
    </row>
    <row r="1048504" spans="1:13" s="3" customFormat="1" x14ac:dyDescent="0.25">
      <c r="A1048504"/>
      <c r="B1048504" s="1"/>
      <c r="C1048504"/>
      <c r="G1048504" s="18"/>
      <c r="H1048504" s="13"/>
      <c r="I1048504"/>
      <c r="K1048504"/>
      <c r="L1048504" s="11"/>
      <c r="M1048504" s="13"/>
    </row>
  </sheetData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Serabut</vt:lpstr>
      <vt:lpstr>Nya 50</vt:lpstr>
      <vt:lpstr>Nya 100</vt:lpstr>
      <vt:lpstr>Nym 50</vt:lpstr>
      <vt:lpstr>Nym 100</vt:lpstr>
      <vt:lpstr>TV</vt:lpstr>
      <vt:lpstr>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2025-09-27T01:33:24Z</dcterms:created>
  <dcterms:modified xsi:type="dcterms:W3CDTF">2026-05-20T06:41:22Z</dcterms:modified>
</cp:coreProperties>
</file>