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7A45B0B7-4AEB-4B1A-B0C8-267EF27418D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  <sheet name="Bu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H41" i="1"/>
  <c r="H42" i="1"/>
  <c r="H43" i="1"/>
  <c r="H39" i="1"/>
  <c r="H34" i="1"/>
  <c r="H35" i="1"/>
  <c r="H36" i="1"/>
  <c r="H37" i="1"/>
  <c r="H38" i="1"/>
  <c r="H5" i="2"/>
  <c r="H6" i="2"/>
  <c r="H7" i="2"/>
  <c r="H8" i="2"/>
  <c r="H9" i="2"/>
  <c r="H10" i="2"/>
  <c r="H11" i="2"/>
  <c r="H4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97DA9B8A-6523-43D4-839C-22522D586F0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<sst xmlns="http://schemas.openxmlformats.org/spreadsheetml/2006/main" count="157" uniqueCount="146">
  <si>
    <t>Kode Item</t>
  </si>
  <si>
    <t>Barcode</t>
  </si>
  <si>
    <t>Nama Item</t>
  </si>
  <si>
    <t>Harga Pokok</t>
  </si>
  <si>
    <t>Harga Jual</t>
  </si>
  <si>
    <t>Stok Awal</t>
  </si>
  <si>
    <t>SPRING BED</t>
  </si>
  <si>
    <t>STZZ-QTM</t>
  </si>
  <si>
    <t>TQRZ-CLO</t>
  </si>
  <si>
    <t>UXWX-CLO</t>
  </si>
  <si>
    <t>VTVW-CLO</t>
  </si>
  <si>
    <t>RYXZ-QTM</t>
  </si>
  <si>
    <t>TZWU-QTM</t>
  </si>
  <si>
    <t>SVYU-QTM</t>
  </si>
  <si>
    <t>QWZU-QTM</t>
  </si>
  <si>
    <t>VUUZ-CLO</t>
  </si>
  <si>
    <t>Kasur1</t>
  </si>
  <si>
    <t>Kasur2</t>
  </si>
  <si>
    <t>Kasur3</t>
  </si>
  <si>
    <t>Kasur4</t>
  </si>
  <si>
    <t>Kasur5</t>
  </si>
  <si>
    <t>Kasur6</t>
  </si>
  <si>
    <t>Kasur7</t>
  </si>
  <si>
    <t>Kasur8</t>
  </si>
  <si>
    <t>Kasur9</t>
  </si>
  <si>
    <t>Kasur10</t>
  </si>
  <si>
    <t>Comforta 120x200 Disc 30%+5% Price List Rp 8.420.000</t>
  </si>
  <si>
    <t>Uniland Paradise Arella Cream</t>
  </si>
  <si>
    <t>Deprima Pillow 160x200 Colorado</t>
  </si>
  <si>
    <t>Deluxe Pillow 180x200 Colorado</t>
  </si>
  <si>
    <t>Emerald 180x200 Colorado</t>
  </si>
  <si>
    <t>Two In One Uniland 120x200</t>
  </si>
  <si>
    <t>Two In One Quantum 120x200</t>
  </si>
  <si>
    <t>Beauty Bed Quantum 160x200</t>
  </si>
  <si>
    <t>Diamond 180x200 Colorado</t>
  </si>
  <si>
    <t>Two In One Angry Bed 100x200</t>
  </si>
  <si>
    <t>SVZ-COM</t>
  </si>
  <si>
    <t>Kasur11</t>
  </si>
  <si>
    <t>Beauty Bed Uniland 90x200</t>
  </si>
  <si>
    <t>Matras Uniland Paradise 160x200</t>
  </si>
  <si>
    <t>QXRZ-QTM</t>
  </si>
  <si>
    <t>Matras Uniland Superior 180x200</t>
  </si>
  <si>
    <t>Matras Uniland Superior 160x200</t>
  </si>
  <si>
    <t>QVQZ-QTM</t>
  </si>
  <si>
    <t>Matras Uniland Paradise 180x200</t>
  </si>
  <si>
    <t>RZUU-QTM</t>
  </si>
  <si>
    <t>Matras Uniland Paradise Pillow 160x200</t>
  </si>
  <si>
    <t>RQQU-QTM</t>
  </si>
  <si>
    <t>Matras Kindom Pillow 160x200</t>
  </si>
  <si>
    <t>QXZZ-KIN</t>
  </si>
  <si>
    <t>Kasur12</t>
  </si>
  <si>
    <t>Kasur13</t>
  </si>
  <si>
    <t>Kasur14</t>
  </si>
  <si>
    <t>Kasur15</t>
  </si>
  <si>
    <t>Kasur16</t>
  </si>
  <si>
    <t>Kasur17</t>
  </si>
  <si>
    <t>Kasur Busa Quantum 180x200x18</t>
  </si>
  <si>
    <t>QRZZ-QTM</t>
  </si>
  <si>
    <t>Kasur18</t>
  </si>
  <si>
    <t>Matras Basic Ultra Plush Top 180x200</t>
  </si>
  <si>
    <t>QVTQ-CO</t>
  </si>
  <si>
    <t>Kasur19</t>
  </si>
  <si>
    <t>Kasur20</t>
  </si>
  <si>
    <t>Matras Basic Ultra Plush Top 160x200</t>
  </si>
  <si>
    <t>QTVT-CO</t>
  </si>
  <si>
    <t>Comforta 2 In 1 100x200</t>
  </si>
  <si>
    <t>Kasur21</t>
  </si>
  <si>
    <t>Matras1</t>
  </si>
  <si>
    <t>Matras Quantum Millenium Plush Top 160x200</t>
  </si>
  <si>
    <t>SRVU-QTM</t>
  </si>
  <si>
    <t>Matras2</t>
  </si>
  <si>
    <t>Matras Quantum Millenium Plush Top 180x200</t>
  </si>
  <si>
    <t>SUYZ-QTM</t>
  </si>
  <si>
    <t>Matras3</t>
  </si>
  <si>
    <t>Matras Quantum Heavenly Standar 160x200</t>
  </si>
  <si>
    <t>RXZZ-QTM</t>
  </si>
  <si>
    <t>Matras4</t>
  </si>
  <si>
    <t>Matras Quantum Heavenly Pillow 160x200</t>
  </si>
  <si>
    <t>SZWZ-QTM</t>
  </si>
  <si>
    <t>Matras5</t>
  </si>
  <si>
    <t>Matras Quantum Heavenly Pillow 180x200</t>
  </si>
  <si>
    <t>SSYU-QTM</t>
  </si>
  <si>
    <t>Matras6</t>
  </si>
  <si>
    <t>QVTQ-STG</t>
  </si>
  <si>
    <t>Matras7</t>
  </si>
  <si>
    <t>QTVT-STG</t>
  </si>
  <si>
    <t>Matras8</t>
  </si>
  <si>
    <t>Matras Silver Pillow 180x200</t>
  </si>
  <si>
    <t>QXRZ-STG</t>
  </si>
  <si>
    <t>Matras9</t>
  </si>
  <si>
    <t>Matras Silver Pillow 160x200</t>
  </si>
  <si>
    <t>QVRV-STG</t>
  </si>
  <si>
    <t>Kode Barang</t>
  </si>
  <si>
    <t>KASUR BUSA</t>
  </si>
  <si>
    <t>Kasur Busa Quantum 90 x 200 x 14</t>
  </si>
  <si>
    <t>Kasur Busa Quantum 120 x 200 x 14</t>
  </si>
  <si>
    <t>Kasur Busa Quantum 160 x 200 x 14</t>
  </si>
  <si>
    <t>Kasur Busa Quantum 180 x 200 x 14</t>
  </si>
  <si>
    <t>TYZ-QTM</t>
  </si>
  <si>
    <t>VSU-QTM</t>
  </si>
  <si>
    <t>XTZ-QTM</t>
  </si>
  <si>
    <t>YTZ-QTM</t>
  </si>
  <si>
    <t>Kasur Busa Quantum 90 x 200 x 18</t>
  </si>
  <si>
    <t>Kasur Busa Quantum 120 x 200 x 18</t>
  </si>
  <si>
    <t>Kasur Busa Quantum 160 x 200 x 18</t>
  </si>
  <si>
    <t>Kasur Busa Quantum 180 x 200 x 18</t>
  </si>
  <si>
    <t>VRU-QTM</t>
  </si>
  <si>
    <t>XRZ-QTM</t>
  </si>
  <si>
    <t>QZYZ-QTM</t>
  </si>
  <si>
    <t>QRRZ-QTM</t>
  </si>
  <si>
    <t>busa1</t>
  </si>
  <si>
    <t>busa2</t>
  </si>
  <si>
    <t>busa6</t>
  </si>
  <si>
    <t>busa8</t>
  </si>
  <si>
    <t>busa3</t>
  </si>
  <si>
    <t>busa4</t>
  </si>
  <si>
    <t>busa5</t>
  </si>
  <si>
    <t>busa7</t>
  </si>
  <si>
    <t>QS.QTX-COM</t>
  </si>
  <si>
    <t>Kasur22</t>
  </si>
  <si>
    <t>Set Comforta Dream 3,0 D83 + HB Adelio 180x200</t>
  </si>
  <si>
    <t>Set Comforta SPR Choice 3.0 D84 + HB Diamente 160x200</t>
  </si>
  <si>
    <t>Set Comforta SPR Pedic 3.0 D84 + HB Velos 160x200</t>
  </si>
  <si>
    <t>Two In One Comforta Star Family 120x200</t>
  </si>
  <si>
    <t>URVZ-COM</t>
  </si>
  <si>
    <t>Set Neo Siwer + HB Neo Anna 160x200</t>
  </si>
  <si>
    <t>SXSR-COM</t>
  </si>
  <si>
    <t>Set Neo Poket + HB Castel 160x200</t>
  </si>
  <si>
    <t>UZUX-COM</t>
  </si>
  <si>
    <t>Boxy + HB Neo Anna Cokalt Motif 160x200</t>
  </si>
  <si>
    <t>RVRZ-COM</t>
  </si>
  <si>
    <t>DV.S One Coklat + HB Neo Anna 160x200</t>
  </si>
  <si>
    <t>RRQX-COM</t>
  </si>
  <si>
    <t>DV.S Boxi Biru + HB Neo Anna Motif 120x200</t>
  </si>
  <si>
    <t>RQQU-COM</t>
  </si>
  <si>
    <t>Kasur23</t>
  </si>
  <si>
    <t>Kasur24</t>
  </si>
  <si>
    <t>Kasur25</t>
  </si>
  <si>
    <t>Kasur26</t>
  </si>
  <si>
    <t>Kasur27</t>
  </si>
  <si>
    <t>Kasur28</t>
  </si>
  <si>
    <t>Kasur29</t>
  </si>
  <si>
    <t>Kasur30</t>
  </si>
  <si>
    <t>Kasur31</t>
  </si>
  <si>
    <t>VWUT-COM</t>
  </si>
  <si>
    <t>VYVU-COM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</si>
</sst>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52"/>
  <sheetViews>
    <sheetView tabSelected="1" workbookViewId="0">
      <pane ySplit="3" topLeftCell="A25" activePane="bottomLeft" state="frozen"/>
      <selection pane="bottomLeft" activeCell="E35" sqref="E35"/>
    </sheetView>
  </sheetViews>
  <sheetFormatPr defaultRowHeight="15" x14ac:dyDescent="0.25"/>
  <cols>
    <col min="1" max="1" width="11.42578125" customWidth="1"/>
    <col min="2" max="2" width="15.5703125" customWidth="1"/>
    <col min="3" max="3" width="52.5703125" customWidth="1"/>
    <col min="4" max="4" width="15.7109375" style="14" customWidth="1"/>
    <col min="5" max="5" width="17" customWidth="1"/>
    <col min="6" max="6" width="17.28515625" style="14" customWidth="1"/>
    <col min="7" max="7" width="9.140625" style="16" bestFit="1" customWidth="1"/>
    <col min="8" max="8" width="17.140625" customWidth="1"/>
  </cols>
  <sheetData>
    <row r="1" spans="1:10" x14ac:dyDescent="0.25">
      <c r="B1" s="1"/>
      <c r="C1" s="2" t="s">
        <v>6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92</v>
      </c>
      <c r="F3" s="12" t="s">
        <v>4</v>
      </c>
      <c r="G3" s="5" t="s">
        <v>5</v>
      </c>
      <c r="J3" s="8"/>
    </row>
    <row r="4" spans="1:10" x14ac:dyDescent="0.25">
      <c r="A4" s="9" t="s">
        <v>16</v>
      </c>
      <c r="B4" s="9">
        <v>124003300</v>
      </c>
      <c r="C4" s="9" t="s">
        <v>26</v>
      </c>
      <c r="D4" s="13"/>
      <c r="E4" s="10"/>
      <c r="F4" s="13">
        <v>5600000</v>
      </c>
      <c r="G4" s="15">
        <v>1</v>
      </c>
      <c r="H4" s="14">
        <f>F4-D4</f>
        <v>5600000</v>
      </c>
    </row>
    <row r="5" spans="1:10" x14ac:dyDescent="0.25">
      <c r="A5" s="9" t="s">
        <v>17</v>
      </c>
      <c r="B5" s="9">
        <v>124003301</v>
      </c>
      <c r="C5" s="9" t="s">
        <v>27</v>
      </c>
      <c r="D5" s="13">
        <v>3400000</v>
      </c>
      <c r="E5" s="10" t="s">
        <v>7</v>
      </c>
      <c r="F5" s="13">
        <v>4750000</v>
      </c>
      <c r="G5" s="15">
        <v>1</v>
      </c>
      <c r="H5" s="14">
        <f t="shared" ref="H5:H43" si="0">F5-D5</f>
        <v>1350000</v>
      </c>
    </row>
    <row r="6" spans="1:10" x14ac:dyDescent="0.25">
      <c r="A6" s="9" t="s">
        <v>18</v>
      </c>
      <c r="B6" s="9">
        <v>124003302</v>
      </c>
      <c r="C6" s="9" t="s">
        <v>28</v>
      </c>
      <c r="D6" s="13">
        <v>4120000</v>
      </c>
      <c r="E6" s="10" t="s">
        <v>8</v>
      </c>
      <c r="F6" s="13">
        <v>5250000</v>
      </c>
      <c r="G6" s="15">
        <v>1</v>
      </c>
      <c r="H6" s="14">
        <f t="shared" si="0"/>
        <v>1130000</v>
      </c>
    </row>
    <row r="7" spans="1:10" x14ac:dyDescent="0.25">
      <c r="A7" s="9" t="s">
        <v>19</v>
      </c>
      <c r="B7" s="9">
        <v>124003303</v>
      </c>
      <c r="C7" s="9" t="s">
        <v>29</v>
      </c>
      <c r="D7" s="13">
        <v>5878000</v>
      </c>
      <c r="E7" s="10" t="s">
        <v>9</v>
      </c>
      <c r="F7" s="13">
        <v>7250000</v>
      </c>
      <c r="G7" s="15">
        <v>1</v>
      </c>
      <c r="H7" s="14">
        <f t="shared" si="0"/>
        <v>1372000</v>
      </c>
    </row>
    <row r="8" spans="1:10" x14ac:dyDescent="0.25">
      <c r="A8" s="9" t="s">
        <v>20</v>
      </c>
      <c r="B8" s="9">
        <v>124003304</v>
      </c>
      <c r="C8" s="9" t="s">
        <v>30</v>
      </c>
      <c r="D8" s="13">
        <v>6467000</v>
      </c>
      <c r="E8" s="10" t="s">
        <v>10</v>
      </c>
      <c r="F8" s="13">
        <v>7775000</v>
      </c>
      <c r="G8" s="15">
        <v>1</v>
      </c>
      <c r="H8" s="14">
        <f t="shared" si="0"/>
        <v>1308000</v>
      </c>
    </row>
    <row r="9" spans="1:10" x14ac:dyDescent="0.25">
      <c r="A9" s="9" t="s">
        <v>21</v>
      </c>
      <c r="B9" s="9">
        <v>124003305</v>
      </c>
      <c r="C9" s="9" t="s">
        <v>31</v>
      </c>
      <c r="D9" s="13">
        <v>2980000</v>
      </c>
      <c r="E9" s="10" t="s">
        <v>11</v>
      </c>
      <c r="F9" s="13">
        <v>4000000</v>
      </c>
      <c r="G9" s="15">
        <v>1</v>
      </c>
      <c r="H9" s="14">
        <f t="shared" si="0"/>
        <v>1020000</v>
      </c>
    </row>
    <row r="10" spans="1:10" x14ac:dyDescent="0.25">
      <c r="A10" s="9" t="s">
        <v>22</v>
      </c>
      <c r="B10" s="9">
        <v>124003306</v>
      </c>
      <c r="C10" s="9" t="s">
        <v>32</v>
      </c>
      <c r="D10" s="13">
        <v>4075000</v>
      </c>
      <c r="E10" s="10" t="s">
        <v>12</v>
      </c>
      <c r="F10" s="13">
        <v>5350000</v>
      </c>
      <c r="G10" s="15">
        <v>1</v>
      </c>
      <c r="H10" s="14">
        <f t="shared" si="0"/>
        <v>1275000</v>
      </c>
    </row>
    <row r="11" spans="1:10" x14ac:dyDescent="0.25">
      <c r="A11" s="9" t="s">
        <v>23</v>
      </c>
      <c r="B11" s="9">
        <v>124003307</v>
      </c>
      <c r="C11" s="9" t="s">
        <v>33</v>
      </c>
      <c r="D11" s="13">
        <v>3695000</v>
      </c>
      <c r="E11" s="10" t="s">
        <v>13</v>
      </c>
      <c r="F11" s="13">
        <v>4700000</v>
      </c>
      <c r="G11" s="15">
        <v>1</v>
      </c>
      <c r="H11" s="14">
        <f t="shared" si="0"/>
        <v>1005000</v>
      </c>
    </row>
    <row r="12" spans="1:10" x14ac:dyDescent="0.25">
      <c r="A12" s="9" t="s">
        <v>24</v>
      </c>
      <c r="B12" s="9">
        <v>124003308</v>
      </c>
      <c r="C12" s="9" t="s">
        <v>38</v>
      </c>
      <c r="D12" s="13">
        <v>1705000</v>
      </c>
      <c r="E12" s="10" t="s">
        <v>14</v>
      </c>
      <c r="F12" s="13">
        <v>2450000</v>
      </c>
      <c r="G12" s="15">
        <v>1</v>
      </c>
      <c r="H12" s="14">
        <f t="shared" si="0"/>
        <v>745000</v>
      </c>
    </row>
    <row r="13" spans="1:10" x14ac:dyDescent="0.25">
      <c r="A13" s="9" t="s">
        <v>25</v>
      </c>
      <c r="B13" s="9">
        <v>124003309</v>
      </c>
      <c r="C13" s="9" t="s">
        <v>34</v>
      </c>
      <c r="D13" s="13">
        <v>6550000</v>
      </c>
      <c r="E13" s="10" t="s">
        <v>15</v>
      </c>
      <c r="F13" s="13">
        <v>7850000</v>
      </c>
      <c r="G13" s="15">
        <v>1</v>
      </c>
      <c r="H13" s="14">
        <f t="shared" si="0"/>
        <v>1300000</v>
      </c>
    </row>
    <row r="14" spans="1:10" x14ac:dyDescent="0.25">
      <c r="A14" s="9" t="s">
        <v>37</v>
      </c>
      <c r="B14" s="9">
        <v>124003310</v>
      </c>
      <c r="C14" s="9" t="s">
        <v>35</v>
      </c>
      <c r="D14" s="13">
        <v>3600000</v>
      </c>
      <c r="E14" s="10" t="s">
        <v>36</v>
      </c>
      <c r="F14" s="13">
        <v>4850000</v>
      </c>
      <c r="G14" s="15">
        <v>1</v>
      </c>
      <c r="H14" s="14">
        <f t="shared" si="0"/>
        <v>1250000</v>
      </c>
    </row>
    <row r="15" spans="1:10" x14ac:dyDescent="0.25">
      <c r="A15" s="9" t="s">
        <v>50</v>
      </c>
      <c r="B15" s="9">
        <v>124003311</v>
      </c>
      <c r="C15" s="9" t="s">
        <v>39</v>
      </c>
      <c r="D15" s="13">
        <v>1820000</v>
      </c>
      <c r="E15" s="10" t="s">
        <v>40</v>
      </c>
      <c r="F15" s="13">
        <v>2600000</v>
      </c>
      <c r="G15" s="15">
        <v>1</v>
      </c>
      <c r="H15" s="14">
        <f t="shared" si="0"/>
        <v>780000</v>
      </c>
    </row>
    <row r="16" spans="1:10" x14ac:dyDescent="0.25">
      <c r="A16" s="9" t="s">
        <v>51</v>
      </c>
      <c r="B16" s="9">
        <v>124003312</v>
      </c>
      <c r="C16" s="9" t="s">
        <v>41</v>
      </c>
      <c r="D16" s="13">
        <v>1820000</v>
      </c>
      <c r="E16" s="10" t="s">
        <v>40</v>
      </c>
      <c r="F16" s="13">
        <v>2600000</v>
      </c>
      <c r="G16" s="15">
        <v>1</v>
      </c>
      <c r="H16" s="14">
        <f t="shared" si="0"/>
        <v>780000</v>
      </c>
    </row>
    <row r="17" spans="1:8" x14ac:dyDescent="0.25">
      <c r="A17" s="9" t="s">
        <v>52</v>
      </c>
      <c r="B17" s="9">
        <v>124003313</v>
      </c>
      <c r="C17" s="9" t="s">
        <v>42</v>
      </c>
      <c r="D17" s="13">
        <v>1610000</v>
      </c>
      <c r="E17" s="10" t="s">
        <v>43</v>
      </c>
      <c r="F17" s="13">
        <v>2400000</v>
      </c>
      <c r="G17" s="15">
        <v>1</v>
      </c>
      <c r="H17" s="14">
        <f t="shared" si="0"/>
        <v>790000</v>
      </c>
    </row>
    <row r="18" spans="1:8" x14ac:dyDescent="0.25">
      <c r="A18" s="9" t="s">
        <v>53</v>
      </c>
      <c r="B18" s="9">
        <v>124003314</v>
      </c>
      <c r="C18" s="9" t="s">
        <v>44</v>
      </c>
      <c r="D18" s="13">
        <v>2055000</v>
      </c>
      <c r="E18" s="10" t="s">
        <v>45</v>
      </c>
      <c r="F18" s="13">
        <v>2750000</v>
      </c>
      <c r="G18" s="15">
        <v>1</v>
      </c>
      <c r="H18" s="14">
        <f t="shared" si="0"/>
        <v>695000</v>
      </c>
    </row>
    <row r="19" spans="1:8" x14ac:dyDescent="0.25">
      <c r="A19" s="9" t="s">
        <v>54</v>
      </c>
      <c r="B19" s="9">
        <v>124003315</v>
      </c>
      <c r="C19" s="9" t="s">
        <v>46</v>
      </c>
      <c r="D19" s="13">
        <v>2115000</v>
      </c>
      <c r="E19" s="10" t="s">
        <v>47</v>
      </c>
      <c r="F19" s="13">
        <v>2850000</v>
      </c>
      <c r="G19" s="15">
        <v>1</v>
      </c>
      <c r="H19" s="14">
        <f t="shared" si="0"/>
        <v>735000</v>
      </c>
    </row>
    <row r="20" spans="1:8" x14ac:dyDescent="0.25">
      <c r="A20" s="9" t="s">
        <v>55</v>
      </c>
      <c r="B20" s="9">
        <v>124003316</v>
      </c>
      <c r="C20" s="9" t="s">
        <v>48</v>
      </c>
      <c r="D20" s="13">
        <v>1800000</v>
      </c>
      <c r="E20" s="10" t="s">
        <v>49</v>
      </c>
      <c r="F20" s="13">
        <v>2500000</v>
      </c>
      <c r="G20" s="15">
        <v>1</v>
      </c>
      <c r="H20" s="14">
        <f t="shared" si="0"/>
        <v>700000</v>
      </c>
    </row>
    <row r="21" spans="1:8" x14ac:dyDescent="0.25">
      <c r="A21" s="9" t="s">
        <v>58</v>
      </c>
      <c r="B21" s="9">
        <v>124003317</v>
      </c>
      <c r="C21" s="9" t="s">
        <v>56</v>
      </c>
      <c r="D21" s="13">
        <v>1200000</v>
      </c>
      <c r="E21" s="10" t="s">
        <v>57</v>
      </c>
      <c r="F21" s="13">
        <v>1800000</v>
      </c>
      <c r="G21" s="15">
        <v>1</v>
      </c>
      <c r="H21" s="14">
        <f t="shared" si="0"/>
        <v>600000</v>
      </c>
    </row>
    <row r="22" spans="1:8" x14ac:dyDescent="0.25">
      <c r="A22" s="9" t="s">
        <v>61</v>
      </c>
      <c r="B22" s="9">
        <v>124003318</v>
      </c>
      <c r="C22" s="9" t="s">
        <v>59</v>
      </c>
      <c r="D22" s="13">
        <v>1641000</v>
      </c>
      <c r="E22" s="10" t="s">
        <v>60</v>
      </c>
      <c r="F22" s="13">
        <v>2200000</v>
      </c>
      <c r="G22" s="15">
        <v>3</v>
      </c>
      <c r="H22" s="14">
        <f t="shared" si="0"/>
        <v>559000</v>
      </c>
    </row>
    <row r="23" spans="1:8" x14ac:dyDescent="0.25">
      <c r="A23" s="9" t="s">
        <v>62</v>
      </c>
      <c r="B23" s="9">
        <v>124003319</v>
      </c>
      <c r="C23" s="9" t="s">
        <v>63</v>
      </c>
      <c r="D23" s="13">
        <v>1464000</v>
      </c>
      <c r="E23" s="10" t="s">
        <v>64</v>
      </c>
      <c r="F23" s="13">
        <v>2000000</v>
      </c>
      <c r="G23" s="15">
        <v>1</v>
      </c>
      <c r="H23" s="14">
        <f t="shared" si="0"/>
        <v>536000</v>
      </c>
    </row>
    <row r="24" spans="1:8" x14ac:dyDescent="0.25">
      <c r="A24" s="9" t="s">
        <v>66</v>
      </c>
      <c r="B24" s="9">
        <v>124003320</v>
      </c>
      <c r="C24" s="9" t="s">
        <v>65</v>
      </c>
      <c r="D24" s="13">
        <v>3600000</v>
      </c>
      <c r="E24" s="10" t="s">
        <v>36</v>
      </c>
      <c r="F24" s="13">
        <v>4850000</v>
      </c>
      <c r="G24" s="15">
        <v>1</v>
      </c>
      <c r="H24" s="14">
        <f t="shared" si="0"/>
        <v>1250000</v>
      </c>
    </row>
    <row r="25" spans="1:8" x14ac:dyDescent="0.25">
      <c r="A25" s="9" t="s">
        <v>67</v>
      </c>
      <c r="B25" s="9">
        <v>258846392</v>
      </c>
      <c r="C25" s="9" t="s">
        <v>68</v>
      </c>
      <c r="D25" s="13">
        <v>3265000</v>
      </c>
      <c r="E25" s="10" t="s">
        <v>69</v>
      </c>
      <c r="F25" s="13">
        <v>4200000</v>
      </c>
      <c r="G25" s="15">
        <v>3</v>
      </c>
      <c r="H25" s="14">
        <f t="shared" si="0"/>
        <v>935000</v>
      </c>
    </row>
    <row r="26" spans="1:8" x14ac:dyDescent="0.25">
      <c r="A26" s="9" t="s">
        <v>70</v>
      </c>
      <c r="B26" s="9">
        <v>258846393</v>
      </c>
      <c r="C26" s="9" t="s">
        <v>71</v>
      </c>
      <c r="D26" s="13">
        <v>3590000</v>
      </c>
      <c r="E26" s="10" t="s">
        <v>72</v>
      </c>
      <c r="F26" s="13">
        <v>4500000</v>
      </c>
      <c r="G26" s="15">
        <v>2</v>
      </c>
      <c r="H26" s="14">
        <f t="shared" si="0"/>
        <v>910000</v>
      </c>
    </row>
    <row r="27" spans="1:8" x14ac:dyDescent="0.25">
      <c r="A27" s="9" t="s">
        <v>73</v>
      </c>
      <c r="B27" s="9">
        <v>258846394</v>
      </c>
      <c r="C27" s="9" t="s">
        <v>74</v>
      </c>
      <c r="D27" s="13">
        <v>2800000</v>
      </c>
      <c r="E27" s="10" t="s">
        <v>75</v>
      </c>
      <c r="F27" s="13">
        <v>3500000</v>
      </c>
      <c r="G27" s="15">
        <v>1</v>
      </c>
      <c r="H27" s="14">
        <f t="shared" si="0"/>
        <v>700000</v>
      </c>
    </row>
    <row r="28" spans="1:8" x14ac:dyDescent="0.25">
      <c r="A28" s="9" t="s">
        <v>76</v>
      </c>
      <c r="B28" s="9">
        <v>258846395</v>
      </c>
      <c r="C28" s="9" t="s">
        <v>77</v>
      </c>
      <c r="D28" s="13">
        <v>3070000</v>
      </c>
      <c r="E28" s="10" t="s">
        <v>78</v>
      </c>
      <c r="F28" s="13">
        <v>3700000</v>
      </c>
      <c r="G28" s="15">
        <v>1</v>
      </c>
      <c r="H28" s="14">
        <f t="shared" si="0"/>
        <v>630000</v>
      </c>
    </row>
    <row r="29" spans="1:8" x14ac:dyDescent="0.25">
      <c r="A29" s="9" t="s">
        <v>79</v>
      </c>
      <c r="B29" s="9">
        <v>258846396</v>
      </c>
      <c r="C29" s="9" t="s">
        <v>80</v>
      </c>
      <c r="D29" s="13">
        <v>3395000</v>
      </c>
      <c r="E29" s="10" t="s">
        <v>81</v>
      </c>
      <c r="F29" s="13">
        <v>3900000</v>
      </c>
      <c r="G29" s="15">
        <v>2</v>
      </c>
      <c r="H29" s="14">
        <f t="shared" si="0"/>
        <v>505000</v>
      </c>
    </row>
    <row r="30" spans="1:8" x14ac:dyDescent="0.25">
      <c r="A30" s="9" t="s">
        <v>82</v>
      </c>
      <c r="B30" s="9">
        <v>258846397</v>
      </c>
      <c r="C30" s="9" t="s">
        <v>59</v>
      </c>
      <c r="D30" s="13">
        <v>1641000</v>
      </c>
      <c r="E30" s="10" t="s">
        <v>83</v>
      </c>
      <c r="F30" s="13">
        <v>2200000</v>
      </c>
      <c r="G30" s="15">
        <v>3</v>
      </c>
      <c r="H30" s="14">
        <f t="shared" si="0"/>
        <v>559000</v>
      </c>
    </row>
    <row r="31" spans="1:8" x14ac:dyDescent="0.25">
      <c r="A31" s="9" t="s">
        <v>84</v>
      </c>
      <c r="B31" s="9">
        <v>258846398</v>
      </c>
      <c r="C31" s="9" t="s">
        <v>63</v>
      </c>
      <c r="D31" s="13">
        <v>1464000</v>
      </c>
      <c r="E31" s="10" t="s">
        <v>85</v>
      </c>
      <c r="F31" s="13">
        <v>2000000</v>
      </c>
      <c r="G31" s="15">
        <v>1</v>
      </c>
      <c r="H31" s="14">
        <f t="shared" si="0"/>
        <v>536000</v>
      </c>
    </row>
    <row r="32" spans="1:8" x14ac:dyDescent="0.25">
      <c r="A32" s="9" t="s">
        <v>86</v>
      </c>
      <c r="B32" s="9">
        <v>258846399</v>
      </c>
      <c r="C32" s="9" t="s">
        <v>87</v>
      </c>
      <c r="D32" s="13">
        <v>1820000</v>
      </c>
      <c r="E32" s="10" t="s">
        <v>88</v>
      </c>
      <c r="F32" s="13">
        <v>2400000</v>
      </c>
      <c r="G32" s="15">
        <v>3</v>
      </c>
      <c r="H32" s="14">
        <f t="shared" si="0"/>
        <v>580000</v>
      </c>
    </row>
    <row r="33" spans="1:8" x14ac:dyDescent="0.25">
      <c r="A33" s="9" t="s">
        <v>89</v>
      </c>
      <c r="B33" s="9">
        <v>258846400</v>
      </c>
      <c r="C33" s="9" t="s">
        <v>90</v>
      </c>
      <c r="D33" s="13">
        <v>1626000</v>
      </c>
      <c r="E33" s="10" t="s">
        <v>91</v>
      </c>
      <c r="F33" s="13">
        <v>2200000</v>
      </c>
      <c r="G33" s="15">
        <v>2</v>
      </c>
      <c r="H33" s="14">
        <f t="shared" si="0"/>
        <v>574000</v>
      </c>
    </row>
    <row r="34" spans="1:8" x14ac:dyDescent="0.25">
      <c r="A34" s="9" t="s">
        <v>119</v>
      </c>
      <c r="B34" s="9">
        <v>25884640</v>
      </c>
      <c r="C34" s="17" t="s">
        <v>120</v>
      </c>
      <c r="D34" s="18">
        <v>13148000</v>
      </c>
      <c r="E34" s="19" t="s">
        <v>118</v>
      </c>
      <c r="F34" s="18">
        <v>15500000</v>
      </c>
      <c r="G34" s="20">
        <v>1</v>
      </c>
      <c r="H34" s="14">
        <f t="shared" si="0"/>
        <v>2352000</v>
      </c>
    </row>
    <row r="35" spans="1:8" x14ac:dyDescent="0.25">
      <c r="A35" s="9" t="s">
        <v>135</v>
      </c>
      <c r="B35" s="9">
        <v>25884641</v>
      </c>
      <c r="C35" s="17" t="s">
        <v>121</v>
      </c>
      <c r="D35" s="18">
        <v>6965000</v>
      </c>
      <c r="E35" s="19" t="s">
        <v>145</v>
      </c>
      <c r="F35" s="18">
        <v>8500000</v>
      </c>
      <c r="G35" s="20">
        <v>1</v>
      </c>
      <c r="H35" s="14">
        <f t="shared" si="0"/>
        <v>1535000</v>
      </c>
    </row>
    <row r="36" spans="1:8" x14ac:dyDescent="0.25">
      <c r="A36" s="9" t="s">
        <v>136</v>
      </c>
      <c r="B36" s="9">
        <v>25884642</v>
      </c>
      <c r="C36" s="17" t="s">
        <v>122</v>
      </c>
      <c r="D36" s="18">
        <v>6754000</v>
      </c>
      <c r="E36" s="19" t="s">
        <v>144</v>
      </c>
      <c r="F36" s="18">
        <v>8200000</v>
      </c>
      <c r="G36" s="20">
        <v>1</v>
      </c>
      <c r="H36" s="14">
        <f t="shared" si="0"/>
        <v>1446000</v>
      </c>
    </row>
    <row r="37" spans="1:8" x14ac:dyDescent="0.25">
      <c r="A37" s="9" t="s">
        <v>137</v>
      </c>
      <c r="B37" s="9">
        <v>25884643</v>
      </c>
      <c r="C37" s="17" t="s">
        <v>123</v>
      </c>
      <c r="D37" s="18">
        <v>5260000</v>
      </c>
      <c r="E37" s="19" t="s">
        <v>124</v>
      </c>
      <c r="F37" s="18">
        <v>6250000</v>
      </c>
      <c r="G37" s="20">
        <v>1</v>
      </c>
      <c r="H37" s="14">
        <f t="shared" si="0"/>
        <v>990000</v>
      </c>
    </row>
    <row r="38" spans="1:8" x14ac:dyDescent="0.25">
      <c r="A38" s="9" t="s">
        <v>138</v>
      </c>
      <c r="B38" s="9">
        <v>25884644</v>
      </c>
      <c r="C38" s="17" t="s">
        <v>125</v>
      </c>
      <c r="D38" s="18">
        <v>3832000</v>
      </c>
      <c r="E38" s="19" t="s">
        <v>126</v>
      </c>
      <c r="F38" s="18">
        <v>4700000</v>
      </c>
      <c r="G38" s="20">
        <v>1</v>
      </c>
      <c r="H38" s="14">
        <f t="shared" si="0"/>
        <v>868000</v>
      </c>
    </row>
    <row r="39" spans="1:8" x14ac:dyDescent="0.25">
      <c r="A39" s="9" t="s">
        <v>139</v>
      </c>
      <c r="B39" s="9">
        <v>25884645</v>
      </c>
      <c r="C39" s="17" t="s">
        <v>127</v>
      </c>
      <c r="D39" s="18">
        <v>5058000</v>
      </c>
      <c r="E39" s="19" t="s">
        <v>128</v>
      </c>
      <c r="F39" s="18">
        <v>6200000</v>
      </c>
      <c r="G39" s="20">
        <v>1</v>
      </c>
      <c r="H39" s="14">
        <f t="shared" si="0"/>
        <v>1142000</v>
      </c>
    </row>
    <row r="40" spans="1:8" x14ac:dyDescent="0.25">
      <c r="A40" s="9" t="s">
        <v>140</v>
      </c>
      <c r="B40" s="9">
        <v>25884646</v>
      </c>
      <c r="C40" s="17" t="s">
        <v>129</v>
      </c>
      <c r="D40" s="18">
        <v>2620000</v>
      </c>
      <c r="E40" s="19" t="s">
        <v>130</v>
      </c>
      <c r="F40" s="18">
        <v>3650000</v>
      </c>
      <c r="G40" s="20">
        <v>1</v>
      </c>
      <c r="H40" s="14">
        <f t="shared" si="0"/>
        <v>1030000</v>
      </c>
    </row>
    <row r="41" spans="1:8" x14ac:dyDescent="0.25">
      <c r="A41" s="9" t="s">
        <v>141</v>
      </c>
      <c r="B41" s="9">
        <v>25884647</v>
      </c>
      <c r="C41" s="17" t="s">
        <v>131</v>
      </c>
      <c r="D41" s="18">
        <v>2218000</v>
      </c>
      <c r="E41" s="19" t="s">
        <v>132</v>
      </c>
      <c r="F41" s="18">
        <v>3200000</v>
      </c>
      <c r="G41" s="20">
        <v>1</v>
      </c>
      <c r="H41" s="14">
        <f t="shared" si="0"/>
        <v>982000</v>
      </c>
    </row>
    <row r="42" spans="1:8" x14ac:dyDescent="0.25">
      <c r="A42" s="9" t="s">
        <v>142</v>
      </c>
      <c r="B42" s="9">
        <v>25884648</v>
      </c>
      <c r="C42" s="17" t="s">
        <v>133</v>
      </c>
      <c r="D42" s="18">
        <v>2115000</v>
      </c>
      <c r="E42" s="19" t="s">
        <v>134</v>
      </c>
      <c r="F42" s="18">
        <v>2850000</v>
      </c>
      <c r="G42" s="20">
        <v>1</v>
      </c>
      <c r="H42" s="14">
        <f t="shared" si="0"/>
        <v>735000</v>
      </c>
    </row>
    <row r="43" spans="1:8" x14ac:dyDescent="0.25">
      <c r="A43" s="9" t="s">
        <v>143</v>
      </c>
      <c r="B43" s="9">
        <v>25884649</v>
      </c>
      <c r="C43" s="9"/>
      <c r="D43" s="13"/>
      <c r="E43" s="10"/>
      <c r="F43" s="13"/>
      <c r="G43" s="15"/>
      <c r="H43" s="14">
        <f t="shared" si="0"/>
        <v>0</v>
      </c>
    </row>
    <row r="44" spans="1:8" x14ac:dyDescent="0.25">
      <c r="A44" s="9"/>
      <c r="B44" s="9"/>
      <c r="C44" s="9"/>
      <c r="D44" s="13"/>
      <c r="E44" s="10"/>
      <c r="F44" s="13"/>
      <c r="G44" s="15"/>
    </row>
    <row r="45" spans="1:8" x14ac:dyDescent="0.25">
      <c r="A45" s="9"/>
      <c r="B45" s="9"/>
      <c r="C45" s="9"/>
      <c r="D45" s="13"/>
      <c r="E45" s="10"/>
      <c r="F45" s="13"/>
      <c r="G45" s="15"/>
    </row>
    <row r="46" spans="1:8" x14ac:dyDescent="0.25">
      <c r="A46" s="9"/>
      <c r="B46" s="9"/>
      <c r="C46" s="9"/>
      <c r="D46" s="13"/>
      <c r="E46" s="10"/>
      <c r="F46" s="13"/>
      <c r="G46" s="15"/>
    </row>
    <row r="47" spans="1:8" x14ac:dyDescent="0.25">
      <c r="A47" s="9"/>
      <c r="B47" s="9"/>
      <c r="C47" s="9"/>
      <c r="D47" s="13"/>
      <c r="E47" s="10"/>
      <c r="F47" s="13"/>
      <c r="G47" s="15"/>
    </row>
    <row r="48" spans="1:8" x14ac:dyDescent="0.25">
      <c r="A48" s="9"/>
      <c r="B48" s="9"/>
      <c r="C48" s="9"/>
      <c r="D48" s="13"/>
      <c r="E48" s="10"/>
      <c r="F48" s="13"/>
      <c r="G48" s="15"/>
    </row>
    <row r="49" spans="1:7" x14ac:dyDescent="0.25">
      <c r="A49" s="9"/>
      <c r="B49" s="9"/>
      <c r="C49" s="9"/>
      <c r="D49" s="13"/>
      <c r="E49" s="10"/>
      <c r="F49" s="13"/>
      <c r="G49" s="15"/>
    </row>
    <row r="50" spans="1:7" x14ac:dyDescent="0.25">
      <c r="A50" s="9"/>
      <c r="B50" s="9"/>
      <c r="C50" s="9"/>
      <c r="D50" s="13"/>
      <c r="E50" s="10"/>
      <c r="F50" s="13"/>
      <c r="G50" s="15"/>
    </row>
    <row r="51" spans="1:7" x14ac:dyDescent="0.25">
      <c r="A51" s="9"/>
      <c r="B51" s="9"/>
      <c r="C51" s="9"/>
      <c r="D51" s="13"/>
      <c r="E51" s="10"/>
      <c r="F51" s="13"/>
      <c r="G51" s="15"/>
    </row>
    <row r="52" spans="1:7" x14ac:dyDescent="0.25">
      <c r="A52" s="9"/>
      <c r="B52" s="9"/>
      <c r="C52" s="9"/>
      <c r="D52" s="13"/>
      <c r="E52" s="10"/>
      <c r="F52" s="13"/>
      <c r="G52" s="15"/>
    </row>
  </sheetData>
  <phoneticPr fontId="4" type="noConversion"/>
  <conditionalFormatting sqref="A3">
    <cfRule type="duplicateValues" dxfId="17" priority="7"/>
    <cfRule type="duplicateValues" dxfId="16" priority="10"/>
  </conditionalFormatting>
  <conditionalFormatting sqref="A1:B3">
    <cfRule type="duplicateValues" dxfId="15" priority="5"/>
  </conditionalFormatting>
  <conditionalFormatting sqref="B2:B3">
    <cfRule type="duplicateValues" dxfId="14" priority="6"/>
  </conditionalFormatting>
  <conditionalFormatting sqref="B3">
    <cfRule type="duplicateValues" dxfId="13" priority="8"/>
    <cfRule type="duplicateValues" dxfId="12" priority="9"/>
  </conditionalFormatting>
  <conditionalFormatting sqref="B1:B24 B44:B1048576">
    <cfRule type="duplicateValues" dxfId="11" priority="4"/>
  </conditionalFormatting>
  <conditionalFormatting sqref="A1:A24 A34:A1048576">
    <cfRule type="duplicateValues" dxfId="10" priority="3"/>
  </conditionalFormatting>
  <conditionalFormatting sqref="B25:B43">
    <cfRule type="duplicateValues" dxfId="9" priority="2"/>
  </conditionalFormatting>
  <conditionalFormatting sqref="A25:A33">
    <cfRule type="duplicateValues" dxfId="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33E5-1498-4FD9-881E-17B5F8515887}">
  <dimension ref="A1:J23"/>
  <sheetViews>
    <sheetView workbookViewId="0">
      <pane ySplit="3" topLeftCell="A4" activePane="bottomLeft" state="frozen"/>
      <selection pane="bottomLeft" activeCell="F18" sqref="F18"/>
    </sheetView>
  </sheetViews>
  <sheetFormatPr defaultRowHeight="15" x14ac:dyDescent="0.25"/>
  <cols>
    <col min="1" max="1" width="9.42578125" bestFit="1" customWidth="1"/>
    <col min="2" max="2" width="15.5703125" customWidth="1"/>
    <col min="3" max="3" width="39.85546875" customWidth="1"/>
    <col min="4" max="4" width="15.7109375" style="14" customWidth="1"/>
    <col min="5" max="5" width="17" customWidth="1"/>
    <col min="6" max="6" width="17.28515625" style="14" customWidth="1"/>
    <col min="7" max="7" width="9.140625" style="16" bestFit="1" customWidth="1"/>
    <col min="8" max="8" width="17.140625" customWidth="1"/>
  </cols>
  <sheetData>
    <row r="1" spans="1:10" x14ac:dyDescent="0.25">
      <c r="B1" s="1"/>
      <c r="C1" s="2" t="s">
        <v>93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92</v>
      </c>
      <c r="F3" s="12" t="s">
        <v>4</v>
      </c>
      <c r="G3" s="5" t="s">
        <v>5</v>
      </c>
      <c r="J3" s="8"/>
    </row>
    <row r="4" spans="1:10" x14ac:dyDescent="0.25">
      <c r="A4" s="9" t="s">
        <v>110</v>
      </c>
      <c r="B4" s="9">
        <v>6966301</v>
      </c>
      <c r="C4" s="9" t="s">
        <v>94</v>
      </c>
      <c r="D4" s="13">
        <v>490000</v>
      </c>
      <c r="E4" s="10" t="s">
        <v>98</v>
      </c>
      <c r="F4" s="13">
        <v>950000</v>
      </c>
      <c r="G4" s="15">
        <v>1</v>
      </c>
      <c r="H4" s="14">
        <f>F4-D4</f>
        <v>460000</v>
      </c>
    </row>
    <row r="5" spans="1:10" x14ac:dyDescent="0.25">
      <c r="A5" s="9" t="s">
        <v>111</v>
      </c>
      <c r="B5" s="9">
        <v>6966302</v>
      </c>
      <c r="C5" s="9" t="s">
        <v>95</v>
      </c>
      <c r="D5" s="13">
        <v>635000</v>
      </c>
      <c r="E5" s="10" t="s">
        <v>99</v>
      </c>
      <c r="F5" s="13">
        <v>1250000</v>
      </c>
      <c r="G5" s="15">
        <v>1</v>
      </c>
      <c r="H5" s="14">
        <f t="shared" ref="H5:H11" si="0">F5-D5</f>
        <v>615000</v>
      </c>
    </row>
    <row r="6" spans="1:10" x14ac:dyDescent="0.25">
      <c r="A6" s="9" t="s">
        <v>114</v>
      </c>
      <c r="B6" s="9">
        <v>6966303</v>
      </c>
      <c r="C6" s="9" t="s">
        <v>96</v>
      </c>
      <c r="D6" s="13">
        <v>840000</v>
      </c>
      <c r="E6" s="10" t="s">
        <v>100</v>
      </c>
      <c r="F6" s="13">
        <v>1450000</v>
      </c>
      <c r="G6" s="15">
        <v>1</v>
      </c>
      <c r="H6" s="14">
        <f t="shared" si="0"/>
        <v>610000</v>
      </c>
    </row>
    <row r="7" spans="1:10" x14ac:dyDescent="0.25">
      <c r="A7" s="9" t="s">
        <v>115</v>
      </c>
      <c r="B7" s="9">
        <v>6966304</v>
      </c>
      <c r="C7" s="9" t="s">
        <v>97</v>
      </c>
      <c r="D7" s="13">
        <v>940000</v>
      </c>
      <c r="E7" s="10" t="s">
        <v>101</v>
      </c>
      <c r="F7" s="13">
        <v>1600000</v>
      </c>
      <c r="G7" s="15">
        <v>1</v>
      </c>
      <c r="H7" s="14">
        <f t="shared" si="0"/>
        <v>660000</v>
      </c>
    </row>
    <row r="8" spans="1:10" x14ac:dyDescent="0.25">
      <c r="A8" s="9" t="s">
        <v>116</v>
      </c>
      <c r="B8" s="9">
        <v>6966305</v>
      </c>
      <c r="C8" s="9" t="s">
        <v>102</v>
      </c>
      <c r="D8" s="13">
        <v>625000</v>
      </c>
      <c r="E8" s="10" t="s">
        <v>106</v>
      </c>
      <c r="F8" s="13">
        <v>1200000</v>
      </c>
      <c r="G8" s="15">
        <v>1</v>
      </c>
      <c r="H8" s="14">
        <f t="shared" si="0"/>
        <v>575000</v>
      </c>
    </row>
    <row r="9" spans="1:10" x14ac:dyDescent="0.25">
      <c r="A9" s="9" t="s">
        <v>112</v>
      </c>
      <c r="B9" s="9">
        <v>6966306</v>
      </c>
      <c r="C9" s="9" t="s">
        <v>103</v>
      </c>
      <c r="D9" s="13">
        <v>820000</v>
      </c>
      <c r="E9" s="10" t="s">
        <v>107</v>
      </c>
      <c r="F9" s="13">
        <v>1450000</v>
      </c>
      <c r="G9" s="15">
        <v>1</v>
      </c>
      <c r="H9" s="14">
        <f t="shared" si="0"/>
        <v>630000</v>
      </c>
    </row>
    <row r="10" spans="1:10" x14ac:dyDescent="0.25">
      <c r="A10" s="9" t="s">
        <v>117</v>
      </c>
      <c r="B10" s="9">
        <v>6966307</v>
      </c>
      <c r="C10" s="9" t="s">
        <v>104</v>
      </c>
      <c r="D10" s="13">
        <v>1090000</v>
      </c>
      <c r="E10" s="10" t="s">
        <v>108</v>
      </c>
      <c r="F10" s="13">
        <v>1650000</v>
      </c>
      <c r="G10" s="15">
        <v>1</v>
      </c>
      <c r="H10" s="14">
        <f t="shared" si="0"/>
        <v>560000</v>
      </c>
    </row>
    <row r="11" spans="1:10" x14ac:dyDescent="0.25">
      <c r="A11" s="9" t="s">
        <v>113</v>
      </c>
      <c r="B11" s="9">
        <v>6966308</v>
      </c>
      <c r="C11" s="9" t="s">
        <v>105</v>
      </c>
      <c r="D11" s="13">
        <v>1220000</v>
      </c>
      <c r="E11" s="10" t="s">
        <v>109</v>
      </c>
      <c r="F11" s="13">
        <v>1800000</v>
      </c>
      <c r="G11" s="15">
        <v>1</v>
      </c>
      <c r="H11" s="14">
        <f t="shared" si="0"/>
        <v>580000</v>
      </c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  <row r="15" spans="1:10" x14ac:dyDescent="0.25">
      <c r="A15" s="9"/>
      <c r="B15" s="9"/>
      <c r="C15" s="9"/>
      <c r="D15" s="13"/>
      <c r="E15" s="10"/>
      <c r="F15" s="13"/>
      <c r="G15" s="15"/>
    </row>
    <row r="16" spans="1:10" x14ac:dyDescent="0.25">
      <c r="A16" s="9"/>
      <c r="B16" s="9"/>
      <c r="C16" s="9"/>
      <c r="D16" s="13"/>
      <c r="E16" s="10"/>
      <c r="F16" s="13"/>
      <c r="G16" s="15"/>
    </row>
    <row r="17" spans="1:7" x14ac:dyDescent="0.25">
      <c r="A17" s="9"/>
      <c r="B17" s="9"/>
      <c r="C17" s="9"/>
      <c r="D17" s="13"/>
      <c r="E17" s="10"/>
      <c r="F17" s="13"/>
      <c r="G17" s="15"/>
    </row>
    <row r="18" spans="1:7" x14ac:dyDescent="0.25">
      <c r="A18" s="9"/>
      <c r="B18" s="9"/>
      <c r="C18" s="9"/>
      <c r="D18" s="13"/>
      <c r="E18" s="10"/>
      <c r="F18" s="13"/>
      <c r="G18" s="15"/>
    </row>
    <row r="19" spans="1:7" x14ac:dyDescent="0.25">
      <c r="A19" s="9"/>
      <c r="B19" s="9"/>
      <c r="C19" s="9"/>
      <c r="D19" s="13"/>
      <c r="E19" s="10"/>
      <c r="F19" s="13"/>
      <c r="G19" s="15"/>
    </row>
    <row r="20" spans="1:7" x14ac:dyDescent="0.25">
      <c r="A20" s="9"/>
      <c r="B20" s="9"/>
      <c r="C20" s="9"/>
      <c r="D20" s="13"/>
      <c r="E20" s="10"/>
      <c r="F20" s="13"/>
      <c r="G20" s="15"/>
    </row>
    <row r="21" spans="1:7" x14ac:dyDescent="0.25">
      <c r="A21" s="9"/>
      <c r="B21" s="9"/>
      <c r="C21" s="9"/>
      <c r="D21" s="13"/>
      <c r="E21" s="10"/>
      <c r="F21" s="13"/>
      <c r="G21" s="15"/>
    </row>
    <row r="22" spans="1:7" x14ac:dyDescent="0.25">
      <c r="A22" s="9"/>
      <c r="B22" s="9"/>
      <c r="C22" s="9"/>
      <c r="D22" s="13"/>
      <c r="E22" s="10"/>
      <c r="F22" s="13"/>
      <c r="G22" s="15"/>
    </row>
    <row r="23" spans="1:7" x14ac:dyDescent="0.25">
      <c r="A23" s="9"/>
      <c r="B23" s="9"/>
      <c r="C23" s="9"/>
      <c r="D23" s="13"/>
      <c r="E23" s="10"/>
      <c r="F23" s="13"/>
      <c r="G23" s="15"/>
    </row>
  </sheetData>
  <phoneticPr fontId="4" type="noConversion"/>
  <conditionalFormatting sqref="A3">
    <cfRule type="duplicateValues" dxfId="7" priority="7"/>
    <cfRule type="duplicateValues" dxfId="6" priority="10"/>
  </conditionalFormatting>
  <conditionalFormatting sqref="A1:B3">
    <cfRule type="duplicateValues" dxfId="5" priority="5"/>
  </conditionalFormatting>
  <conditionalFormatting sqref="B2:B3">
    <cfRule type="duplicateValues" dxfId="4" priority="6"/>
  </conditionalFormatting>
  <conditionalFormatting sqref="B3">
    <cfRule type="duplicateValues" dxfId="3" priority="8"/>
    <cfRule type="duplicateValues" dxfId="2" priority="9"/>
  </conditionalFormatting>
  <conditionalFormatting sqref="B1:B1048576">
    <cfRule type="duplicateValues" dxfId="1" priority="4"/>
  </conditionalFormatting>
  <conditionalFormatting sqref="A1:A1048576"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2026-05-17T04:41:57Z</dcterms:modified>
</cp:coreProperties>
</file>