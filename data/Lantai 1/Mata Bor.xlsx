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6FE6AB01-5A64-45A0-9A58-CE8CB430373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16" i="1"/>
  <c r="H17" i="1"/>
  <c r="H18" i="1"/>
  <c r="H15" i="1"/>
  <c r="H14" i="1"/>
  <c r="H13" i="1"/>
  <c r="H9" i="1"/>
  <c r="H10" i="1"/>
  <c r="H11" i="1"/>
  <c r="H12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<sst xmlns="http://schemas.openxmlformats.org/spreadsheetml/2006/main" count="62" uniqueCount="62">
  <si>
    <t>Kode Item</t>
  </si>
  <si>
    <t>Barcode</t>
  </si>
  <si>
    <t>Nama Item</t>
  </si>
  <si>
    <t>Harga Pokok</t>
  </si>
  <si>
    <t>Harga Jual</t>
  </si>
  <si>
    <t>MATA BOR</t>
  </si>
  <si>
    <t>Mata Bor Beton Flourist SDS 30cmx22mm</t>
  </si>
  <si>
    <t>Mata Bor Beton Flourist SDS 30cmx14mm</t>
  </si>
  <si>
    <t>UZ-SMK</t>
  </si>
  <si>
    <t>SY-SMK</t>
  </si>
  <si>
    <t>Mata1</t>
  </si>
  <si>
    <t>Mata2</t>
  </si>
  <si>
    <t>Hole Saw Beton Flourist 70mm</t>
  </si>
  <si>
    <t>QVWU-SMK</t>
  </si>
  <si>
    <t>Mata3</t>
  </si>
  <si>
    <t>Mata Bor Hammer 14x250mm DCA</t>
  </si>
  <si>
    <t>QWU-SJS</t>
  </si>
  <si>
    <t>Mata4</t>
  </si>
  <si>
    <t>Mata5</t>
  </si>
  <si>
    <t>Kode Barang</t>
  </si>
  <si>
    <t>Mata Bor Besi RYU 3mm</t>
  </si>
  <si>
    <t>Mata Bor Besi RYU 3.5mm</t>
  </si>
  <si>
    <t>Mata Bor Besi RYU 4mm</t>
  </si>
  <si>
    <t>8994175001653</t>
  </si>
  <si>
    <t>8994175001660</t>
  </si>
  <si>
    <t>8994175001677</t>
  </si>
  <si>
    <t>Mata6</t>
  </si>
  <si>
    <t>Mata7</t>
  </si>
  <si>
    <t>Mata8</t>
  </si>
  <si>
    <t>Mata9</t>
  </si>
  <si>
    <t>VV-DL</t>
  </si>
  <si>
    <t>WQU-DL</t>
  </si>
  <si>
    <t>XRU-DL</t>
  </si>
  <si>
    <t>SUR-DL</t>
  </si>
  <si>
    <t>TXW-MJ</t>
  </si>
  <si>
    <t>Mata10</t>
  </si>
  <si>
    <t>Mata Bor Tombak Tjap Mata 12mm</t>
  </si>
  <si>
    <t>SS-MJ</t>
  </si>
  <si>
    <t>Mata11</t>
  </si>
  <si>
    <t>Mata Bor Beton ATS 8mm</t>
  </si>
  <si>
    <t>Mata Bor Beton ATS 6mm</t>
  </si>
  <si>
    <t>WWU-MJA</t>
  </si>
  <si>
    <t>UWUZ-MJA</t>
  </si>
  <si>
    <t>Mata12</t>
  </si>
  <si>
    <t>Mata13</t>
  </si>
  <si>
    <t>5709131081203</t>
  </si>
  <si>
    <t>5709131061007</t>
  </si>
  <si>
    <t>Mata Bor Kayu Oliq 1/2</t>
  </si>
  <si>
    <t>SZ-SBA</t>
  </si>
  <si>
    <t>Mata14</t>
  </si>
  <si>
    <t>Stok</t>
  </si>
  <si>
    <t>Mata Bor Pahat JCK 3/8"</t>
  </si>
  <si>
    <t>QTT-SJS</t>
  </si>
  <si>
    <t>Mata15</t>
  </si>
  <si>
    <t>81-1320-0308</t>
  </si>
  <si>
    <t>Mata Bor Tjap Mata Plat SDS 14 x 25 0x 20mm</t>
  </si>
  <si>
    <t>Mata Bor Beton Langsol Plus Flat - 20 x 280</t>
  </si>
  <si>
    <t>Mata Bor Beton SDS 10 x 160 Tjap Mata</t>
  </si>
  <si>
    <t>RUU-SMK</t>
  </si>
  <si>
    <t>Mata Bor Beton SDS 12 x 160 Tjap Mata</t>
  </si>
  <si>
    <t>SZU-SMK</t>
  </si>
  <si>
    <t>Mata16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</si>
</sst>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23"/>
  <sheetViews>
    <sheetView tabSelected="1" workbookViewId="0">
      <pane ySplit="3" topLeftCell="A4" activePane="bottomLeft" state="frozen"/>
      <selection pane="bottomLeft" activeCell="C25" sqref="C25"/>
    </sheetView>
  </sheetViews>
  <sheetFormatPr defaultRowHeight="15" x14ac:dyDescent="0.25"/>
  <cols>
    <col min="1" max="1" width="11.42578125" customWidth="1"/>
    <col min="2" max="2" width="20.28515625" customWidth="1"/>
    <col min="3" max="3" width="43.7109375" customWidth="1"/>
    <col min="4" max="4" width="18.42578125" style="14" customWidth="1"/>
    <col min="5" max="5" width="17.140625" customWidth="1"/>
    <col min="6" max="6" width="17" style="14" customWidth="1"/>
    <col min="7" max="7" width="9.7109375" style="16" bestFit="1" customWidth="1"/>
    <col min="8" max="8" width="14.5703125" customWidth="1"/>
    <col min="9" max="9" width="6.7109375" customWidth="1"/>
  </cols>
  <sheetData>
    <row r="1" spans="1:12" x14ac:dyDescent="0.25">
      <c r="B1" s="1"/>
      <c r="C1" s="2" t="s">
        <v>5</v>
      </c>
      <c r="D1" s="11"/>
      <c r="E1" s="3"/>
      <c r="F1" s="11"/>
    </row>
    <row r="2" spans="1:12" x14ac:dyDescent="0.25">
      <c r="B2" s="1"/>
      <c r="D2" s="11"/>
      <c r="E2" s="3"/>
      <c r="F2" s="11"/>
      <c r="K2" s="17"/>
      <c r="L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19</v>
      </c>
      <c r="F3" s="12" t="s">
        <v>4</v>
      </c>
      <c r="G3" s="5" t="s">
        <v>50</v>
      </c>
      <c r="K3" s="17"/>
      <c r="L3" s="8"/>
    </row>
    <row r="4" spans="1:12" x14ac:dyDescent="0.25">
      <c r="A4" s="9" t="s">
        <v>10</v>
      </c>
      <c r="B4" s="9">
        <v>320973</v>
      </c>
      <c r="C4" s="9" t="s">
        <v>6</v>
      </c>
      <c r="D4" s="13">
        <v>50000</v>
      </c>
      <c r="E4" s="10" t="s">
        <v>8</v>
      </c>
      <c r="F4" s="13">
        <v>125000</v>
      </c>
      <c r="G4" s="15">
        <v>3</v>
      </c>
      <c r="H4" s="14">
        <f>F4-D4</f>
        <v>75000</v>
      </c>
      <c r="I4" s="14"/>
    </row>
    <row r="5" spans="1:12" x14ac:dyDescent="0.25">
      <c r="A5" s="9" t="s">
        <v>11</v>
      </c>
      <c r="B5" s="9">
        <v>320974</v>
      </c>
      <c r="C5" s="9" t="s">
        <v>7</v>
      </c>
      <c r="D5" s="13">
        <v>39000</v>
      </c>
      <c r="E5" s="10" t="s">
        <v>9</v>
      </c>
      <c r="F5" s="13">
        <v>85000</v>
      </c>
      <c r="G5" s="15">
        <v>3</v>
      </c>
      <c r="H5" s="14">
        <f>F5-D5</f>
        <v>46000</v>
      </c>
      <c r="I5" s="14"/>
    </row>
    <row r="6" spans="1:12" x14ac:dyDescent="0.25">
      <c r="A6" s="9" t="s">
        <v>14</v>
      </c>
      <c r="B6" s="9">
        <v>320975</v>
      </c>
      <c r="C6" s="9" t="s">
        <v>12</v>
      </c>
      <c r="D6" s="13">
        <v>167500</v>
      </c>
      <c r="E6" s="10" t="s">
        <v>13</v>
      </c>
      <c r="F6" s="13">
        <v>250000</v>
      </c>
      <c r="G6" s="15">
        <v>3</v>
      </c>
      <c r="H6" s="14">
        <f>F6-D6</f>
        <v>82500</v>
      </c>
      <c r="I6" s="14"/>
    </row>
    <row r="7" spans="1:12" x14ac:dyDescent="0.25">
      <c r="A7" s="9" t="s">
        <v>17</v>
      </c>
      <c r="B7" s="9">
        <v>30270300010</v>
      </c>
      <c r="C7" s="9" t="s">
        <v>15</v>
      </c>
      <c r="D7" s="13">
        <v>17500</v>
      </c>
      <c r="E7" s="10" t="s">
        <v>16</v>
      </c>
      <c r="F7" s="13">
        <v>45000</v>
      </c>
      <c r="G7" s="15">
        <v>5</v>
      </c>
      <c r="H7" s="14">
        <f>F7-D7</f>
        <v>27500</v>
      </c>
      <c r="I7" s="14"/>
    </row>
    <row r="8" spans="1:12" x14ac:dyDescent="0.25">
      <c r="A8" s="9" t="s">
        <v>18</v>
      </c>
      <c r="B8" s="9">
        <v>320976</v>
      </c>
      <c r="C8" s="20" t="s">
        <v>57</v>
      </c>
      <c r="D8" s="21">
        <v>25500</v>
      </c>
      <c r="E8" s="22" t="s">
        <v>58</v>
      </c>
      <c r="F8" s="21">
        <v>50000</v>
      </c>
      <c r="G8" s="23">
        <v>6</v>
      </c>
      <c r="H8" s="14">
        <f>F8-D8</f>
        <v>24500</v>
      </c>
      <c r="I8" s="14"/>
    </row>
    <row r="9" spans="1:12" x14ac:dyDescent="0.25">
      <c r="A9" s="9" t="s">
        <v>26</v>
      </c>
      <c r="B9" s="9" t="s">
        <v>23</v>
      </c>
      <c r="C9" s="9" t="s">
        <v>20</v>
      </c>
      <c r="D9" s="13">
        <v>6600</v>
      </c>
      <c r="E9" s="10" t="s">
        <v>30</v>
      </c>
      <c r="F9" s="13">
        <v>15000</v>
      </c>
      <c r="G9" s="15">
        <v>30</v>
      </c>
      <c r="H9" s="14">
        <f t="shared" ref="H9:H19" si="0">F9-D9</f>
        <v>8400</v>
      </c>
    </row>
    <row r="10" spans="1:12" x14ac:dyDescent="0.25">
      <c r="A10" s="9" t="s">
        <v>27</v>
      </c>
      <c r="B10" s="9" t="s">
        <v>24</v>
      </c>
      <c r="C10" s="9" t="s">
        <v>21</v>
      </c>
      <c r="D10" s="13">
        <v>7150</v>
      </c>
      <c r="E10" s="10" t="s">
        <v>31</v>
      </c>
      <c r="F10" s="13">
        <v>17000</v>
      </c>
      <c r="G10" s="15">
        <v>30</v>
      </c>
      <c r="H10" s="14">
        <f t="shared" si="0"/>
        <v>9850</v>
      </c>
    </row>
    <row r="11" spans="1:12" x14ac:dyDescent="0.25">
      <c r="A11" s="9" t="s">
        <v>28</v>
      </c>
      <c r="B11" s="9" t="s">
        <v>25</v>
      </c>
      <c r="C11" s="9" t="s">
        <v>22</v>
      </c>
      <c r="D11" s="13">
        <v>8250</v>
      </c>
      <c r="E11" s="10" t="s">
        <v>32</v>
      </c>
      <c r="F11" s="13">
        <v>20000</v>
      </c>
      <c r="G11" s="15">
        <v>30</v>
      </c>
      <c r="H11" s="14">
        <f t="shared" si="0"/>
        <v>11750</v>
      </c>
    </row>
    <row r="12" spans="1:12" x14ac:dyDescent="0.25">
      <c r="A12" s="9" t="s">
        <v>29</v>
      </c>
      <c r="B12" s="9">
        <v>320977</v>
      </c>
      <c r="C12" s="9" t="s">
        <v>56</v>
      </c>
      <c r="D12" s="13">
        <v>35200</v>
      </c>
      <c r="E12" s="10" t="s">
        <v>33</v>
      </c>
      <c r="F12" s="13">
        <v>85000</v>
      </c>
      <c r="G12" s="15">
        <v>6</v>
      </c>
      <c r="H12" s="14">
        <f t="shared" si="0"/>
        <v>49800</v>
      </c>
    </row>
    <row r="13" spans="1:12" x14ac:dyDescent="0.25">
      <c r="A13" s="9" t="s">
        <v>35</v>
      </c>
      <c r="B13" s="9">
        <v>320978</v>
      </c>
      <c r="C13" s="18" t="s">
        <v>55</v>
      </c>
      <c r="D13" s="13">
        <v>48700</v>
      </c>
      <c r="E13" s="10" t="s">
        <v>34</v>
      </c>
      <c r="F13" s="13">
        <v>125000</v>
      </c>
      <c r="G13" s="15">
        <v>3</v>
      </c>
      <c r="H13" s="14">
        <f t="shared" si="0"/>
        <v>76300</v>
      </c>
    </row>
    <row r="14" spans="1:12" x14ac:dyDescent="0.25">
      <c r="A14" s="9" t="s">
        <v>38</v>
      </c>
      <c r="B14" s="9">
        <v>320979</v>
      </c>
      <c r="C14" s="9" t="s">
        <v>36</v>
      </c>
      <c r="D14" s="13">
        <v>33000</v>
      </c>
      <c r="E14" s="10" t="s">
        <v>37</v>
      </c>
      <c r="F14" s="13">
        <v>55000</v>
      </c>
      <c r="G14" s="15">
        <v>12</v>
      </c>
      <c r="H14" s="14">
        <f t="shared" si="0"/>
        <v>22000</v>
      </c>
    </row>
    <row r="15" spans="1:12" x14ac:dyDescent="0.25">
      <c r="A15" s="9" t="s">
        <v>43</v>
      </c>
      <c r="B15" s="19" t="s">
        <v>45</v>
      </c>
      <c r="C15" s="9" t="s">
        <v>39</v>
      </c>
      <c r="D15" s="13">
        <v>7750</v>
      </c>
      <c r="E15" s="10" t="s">
        <v>41</v>
      </c>
      <c r="F15" s="13">
        <v>17000</v>
      </c>
      <c r="G15" s="15">
        <v>10</v>
      </c>
      <c r="H15" s="14">
        <f t="shared" si="0"/>
        <v>9250</v>
      </c>
    </row>
    <row r="16" spans="1:12" x14ac:dyDescent="0.25">
      <c r="A16" s="9" t="s">
        <v>44</v>
      </c>
      <c r="B16" s="19" t="s">
        <v>46</v>
      </c>
      <c r="C16" s="9" t="s">
        <v>40</v>
      </c>
      <c r="D16" s="13">
        <v>5750</v>
      </c>
      <c r="E16" s="10" t="s">
        <v>42</v>
      </c>
      <c r="F16" s="13">
        <v>15000</v>
      </c>
      <c r="G16" s="15">
        <v>10</v>
      </c>
      <c r="H16" s="14">
        <f t="shared" si="0"/>
        <v>9250</v>
      </c>
    </row>
    <row r="17" spans="1:8" x14ac:dyDescent="0.25">
      <c r="A17" s="9" t="s">
        <v>49</v>
      </c>
      <c r="B17" s="9">
        <v>320980</v>
      </c>
      <c r="C17" s="9" t="s">
        <v>47</v>
      </c>
      <c r="D17" s="13">
        <v>30000</v>
      </c>
      <c r="E17" s="10" t="s">
        <v>48</v>
      </c>
      <c r="F17" s="13">
        <v>75000</v>
      </c>
      <c r="G17" s="15">
        <v>12</v>
      </c>
      <c r="H17" s="14">
        <f t="shared" si="0"/>
        <v>45000</v>
      </c>
    </row>
    <row r="18" spans="1:8" x14ac:dyDescent="0.25">
      <c r="A18" s="9" t="s">
        <v>53</v>
      </c>
      <c r="B18" s="9" t="s">
        <v>54</v>
      </c>
      <c r="C18" s="9" t="s">
        <v>51</v>
      </c>
      <c r="D18" s="13">
        <v>144000</v>
      </c>
      <c r="E18" s="10" t="s">
        <v>52</v>
      </c>
      <c r="F18" s="13">
        <v>285000</v>
      </c>
      <c r="G18" s="15">
        <v>6</v>
      </c>
      <c r="H18" s="14">
        <f t="shared" si="0"/>
        <v>141000</v>
      </c>
    </row>
    <row r="19" spans="1:8" x14ac:dyDescent="0.25">
      <c r="A19" s="9" t="s">
        <v>61</v>
      </c>
      <c r="B19" s="9">
        <v>320981</v>
      </c>
      <c r="C19" s="9" t="s">
        <v>59</v>
      </c>
      <c r="D19" s="13">
        <v>30500</v>
      </c>
      <c r="E19" s="10" t="s">
        <v>60</v>
      </c>
      <c r="F19" s="13">
        <v>75000</v>
      </c>
      <c r="G19" s="15">
        <v>6</v>
      </c>
      <c r="H19" s="14">
        <f t="shared" si="0"/>
        <v>44500</v>
      </c>
    </row>
    <row r="20" spans="1:8" x14ac:dyDescent="0.25">
      <c r="A20" s="9"/>
      <c r="B20" s="9"/>
      <c r="C20" s="9"/>
      <c r="D20" s="13"/>
      <c r="E20" s="10"/>
      <c r="F20" s="13"/>
      <c r="G20" s="15"/>
    </row>
    <row r="21" spans="1:8" x14ac:dyDescent="0.25">
      <c r="A21" s="9"/>
      <c r="B21" s="9"/>
      <c r="C21" s="9"/>
      <c r="D21" s="13"/>
      <c r="E21" s="10"/>
      <c r="F21" s="13"/>
      <c r="G21" s="15"/>
    </row>
    <row r="22" spans="1:8" x14ac:dyDescent="0.25">
      <c r="A22" s="9"/>
      <c r="B22" s="9"/>
      <c r="C22" s="9"/>
      <c r="D22" s="13"/>
      <c r="E22" s="10"/>
      <c r="F22" s="13"/>
      <c r="G22" s="15"/>
    </row>
    <row r="23" spans="1:8" x14ac:dyDescent="0.25">
      <c r="A23" s="9"/>
      <c r="B23" s="9"/>
      <c r="C23" s="9"/>
      <c r="D23" s="13"/>
      <c r="E23" s="10"/>
      <c r="F23" s="13"/>
      <c r="G23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2026-06-02T01:31:55Z</dcterms:modified>
</cp:coreProperties>
</file>