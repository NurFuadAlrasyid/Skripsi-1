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F2B1597A-0B7C-487E-8BB3-20C55EA6AC13}" xr6:coauthVersionLast="47" xr6:coauthVersionMax="47" xr10:uidLastSave="{00000000-0000-0000-0000-000000000000}"/>
  <bookViews>
    <workbookView xWindow="-120" yWindow="-120" windowWidth="29040" windowHeight="15840" activeTab="1" xr2:uid="{C59D71DA-7F0E-4333-8576-EDA8EF923B1F}"/>
  </bookViews>
  <sheets>
    <sheet name="Sekrup" sheetId="1" r:id="rId1"/>
    <sheet name="Ba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4" i="2"/>
  <c r="H6" i="2"/>
  <c r="H7" i="2"/>
  <c r="H5" i="2"/>
  <c r="H4" i="2"/>
  <c r="H7" i="1"/>
  <c r="H8" i="1"/>
  <c r="H9" i="1"/>
  <c r="H10" i="1"/>
  <c r="H11" i="1"/>
  <c r="H12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39C551EB-CC40-4B78-87AB-66219C2248DA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<sst xmlns="http://schemas.openxmlformats.org/spreadsheetml/2006/main" count="73" uniqueCount="65">
  <si>
    <t>Kode Item</t>
  </si>
  <si>
    <t>Barcode</t>
  </si>
  <si>
    <t>Nama Item</t>
  </si>
  <si>
    <t>Harga Pokok</t>
  </si>
  <si>
    <t>Harga Jual</t>
  </si>
  <si>
    <t>Stok Awal</t>
  </si>
  <si>
    <t>SEKRUP</t>
  </si>
  <si>
    <t>Sekrup Baja Ringan CML 8x25 1000 pcs</t>
  </si>
  <si>
    <t>Sekrup Baja Ringan CML 8x32 1000 pcs</t>
  </si>
  <si>
    <t>Sekrup Baja Ringan CML 8x38 1000 pcs</t>
  </si>
  <si>
    <t>QZU-DL</t>
  </si>
  <si>
    <t>QSZ-DL</t>
  </si>
  <si>
    <t>QUZ-DL</t>
  </si>
  <si>
    <t>Sekrup Baja Ringan CML 8x25 500 pcs</t>
  </si>
  <si>
    <t>Sekrup Baja Ringan CML 8x32 500 pcs</t>
  </si>
  <si>
    <t>Sekrup Baja Ringan CML 8x38 500 pcs</t>
  </si>
  <si>
    <t>URU-DL</t>
  </si>
  <si>
    <t>VU-DL</t>
  </si>
  <si>
    <t>WU-DL</t>
  </si>
  <si>
    <t>Sekrup Baja Ringan CML 8x25 50 pcs</t>
  </si>
  <si>
    <t>Sekrup Baja Ringan CML 8x32 50 pcs</t>
  </si>
  <si>
    <t>Sekrup Baja Ringan CML 8x38 50 pcs</t>
  </si>
  <si>
    <t>QS-DL</t>
  </si>
  <si>
    <t>QU-DL</t>
  </si>
  <si>
    <t>sekrup1</t>
  </si>
  <si>
    <t>sekrup5</t>
  </si>
  <si>
    <t>sekrup2</t>
  </si>
  <si>
    <t>sekrup9</t>
  </si>
  <si>
    <t>sekrup3</t>
  </si>
  <si>
    <t>sekrup4</t>
  </si>
  <si>
    <t>sekrup6</t>
  </si>
  <si>
    <t>sekrup7</t>
  </si>
  <si>
    <t>sekrup8</t>
  </si>
  <si>
    <t>685842</t>
  </si>
  <si>
    <t>685843</t>
  </si>
  <si>
    <t>685844</t>
  </si>
  <si>
    <t>685845</t>
  </si>
  <si>
    <t>685846</t>
  </si>
  <si>
    <t>685847</t>
  </si>
  <si>
    <t>685848</t>
  </si>
  <si>
    <t>685849</t>
  </si>
  <si>
    <t>685850</t>
  </si>
  <si>
    <t>Kode Barang</t>
  </si>
  <si>
    <t>Baut Drilling Kuning + K 12x40</t>
  </si>
  <si>
    <t>Baut Drilling Kuning + K 12x70</t>
  </si>
  <si>
    <t>685851</t>
  </si>
  <si>
    <t>685852</t>
  </si>
  <si>
    <t>QUU-TB</t>
  </si>
  <si>
    <t>QXZ-TB</t>
  </si>
  <si>
    <t>Baut1</t>
  </si>
  <si>
    <t>Baut2</t>
  </si>
  <si>
    <t>Baut Dinabold 12x99 Hendzo (65Pcs)</t>
  </si>
  <si>
    <t>QXT-MJ</t>
  </si>
  <si>
    <t>685853</t>
  </si>
  <si>
    <t>Baut3</t>
  </si>
  <si>
    <t>Harga Pokok (M)</t>
  </si>
  <si>
    <t>Kode Barang (M)</t>
  </si>
  <si>
    <t>Harga Jual (M)</t>
  </si>
  <si>
    <t>RX-MJ</t>
  </si>
  <si>
    <t>Stok</t>
  </si>
  <si>
    <t>RZZ-SBA</t>
  </si>
  <si>
    <t>Baut4</t>
  </si>
  <si>
    <t>685854</t>
  </si>
  <si>
    <t>Baut Flange Putih Wilson M8 x 15</t>
  </si>
  <si>
    <t>TYX-SBA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</si>
</sst>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42" fontId="0" fillId="0" borderId="1" xfId="0" applyNumberFormat="1" applyBorder="1"/>
    <xf numFmtId="42" fontId="1" fillId="0" borderId="0" xfId="0" applyNumberFormat="1" applyFont="1"/>
    <xf numFmtId="4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8"/>
  <sheetViews>
    <sheetView workbookViewId="0">
      <pane ySplit="3" topLeftCell="A4" activePane="bottomLeft" state="frozen"/>
      <selection pane="bottomLeft" activeCell="H13" sqref="H13:H14"/>
    </sheetView>
  </sheetViews>
  <sheetFormatPr defaultRowHeight="15" x14ac:dyDescent="0.25"/>
  <cols>
    <col min="1" max="1" width="10.140625" bestFit="1" customWidth="1"/>
    <col min="2" max="2" width="15.5703125" customWidth="1"/>
    <col min="3" max="3" width="40.5703125" customWidth="1"/>
    <col min="4" max="4" width="18" style="13" customWidth="1"/>
    <col min="5" max="5" width="16.140625" customWidth="1"/>
    <col min="6" max="6" width="19.28515625" style="13" customWidth="1"/>
    <col min="7" max="7" width="9.140625" style="15" bestFit="1" customWidth="1"/>
    <col min="8" max="8" width="14" customWidth="1"/>
  </cols>
  <sheetData>
    <row r="1" spans="1:10" x14ac:dyDescent="0.25">
      <c r="B1" s="1"/>
      <c r="C1" s="2" t="s">
        <v>6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42</v>
      </c>
      <c r="F3" s="11" t="s">
        <v>4</v>
      </c>
      <c r="G3" s="5" t="s">
        <v>5</v>
      </c>
      <c r="J3" s="7"/>
    </row>
    <row r="4" spans="1:10" x14ac:dyDescent="0.25">
      <c r="A4" s="8" t="s">
        <v>24</v>
      </c>
      <c r="B4" s="17" t="s">
        <v>33</v>
      </c>
      <c r="C4" s="8" t="s">
        <v>7</v>
      </c>
      <c r="D4" s="12">
        <v>105000</v>
      </c>
      <c r="E4" s="9" t="s">
        <v>10</v>
      </c>
      <c r="F4" s="12">
        <v>195000</v>
      </c>
      <c r="G4" s="14">
        <v>3</v>
      </c>
      <c r="H4" s="13">
        <f t="shared" ref="H4:H12" si="0">F4-D4</f>
        <v>90000</v>
      </c>
    </row>
    <row r="5" spans="1:10" x14ac:dyDescent="0.25">
      <c r="A5" s="8" t="s">
        <v>26</v>
      </c>
      <c r="B5" s="17" t="s">
        <v>34</v>
      </c>
      <c r="C5" s="8" t="s">
        <v>8</v>
      </c>
      <c r="D5" s="12">
        <v>130000</v>
      </c>
      <c r="E5" s="9" t="s">
        <v>11</v>
      </c>
      <c r="F5" s="12">
        <v>200000</v>
      </c>
      <c r="G5" s="14">
        <v>3</v>
      </c>
      <c r="H5" s="13">
        <f t="shared" si="0"/>
        <v>70000</v>
      </c>
    </row>
    <row r="6" spans="1:10" x14ac:dyDescent="0.25">
      <c r="A6" s="8" t="s">
        <v>28</v>
      </c>
      <c r="B6" s="17" t="s">
        <v>35</v>
      </c>
      <c r="C6" s="8" t="s">
        <v>9</v>
      </c>
      <c r="D6" s="12">
        <v>150000</v>
      </c>
      <c r="E6" s="9" t="s">
        <v>12</v>
      </c>
      <c r="F6" s="12">
        <v>225000</v>
      </c>
      <c r="G6" s="14">
        <v>3</v>
      </c>
      <c r="H6" s="13">
        <f t="shared" si="0"/>
        <v>75000</v>
      </c>
    </row>
    <row r="7" spans="1:10" x14ac:dyDescent="0.25">
      <c r="A7" s="8" t="s">
        <v>29</v>
      </c>
      <c r="B7" s="17" t="s">
        <v>36</v>
      </c>
      <c r="C7" s="8" t="s">
        <v>13</v>
      </c>
      <c r="D7" s="12">
        <v>52500</v>
      </c>
      <c r="E7" s="9" t="s">
        <v>16</v>
      </c>
      <c r="F7" s="12">
        <v>98000</v>
      </c>
      <c r="G7" s="14">
        <v>4</v>
      </c>
      <c r="H7" s="13">
        <f t="shared" si="0"/>
        <v>45500</v>
      </c>
    </row>
    <row r="8" spans="1:10" x14ac:dyDescent="0.25">
      <c r="A8" s="8" t="s">
        <v>25</v>
      </c>
      <c r="B8" s="17" t="s">
        <v>37</v>
      </c>
      <c r="C8" s="8" t="s">
        <v>14</v>
      </c>
      <c r="D8" s="12">
        <v>65000</v>
      </c>
      <c r="E8" s="9" t="s">
        <v>17</v>
      </c>
      <c r="F8" s="12">
        <v>100000</v>
      </c>
      <c r="G8" s="14">
        <v>4</v>
      </c>
      <c r="H8" s="13">
        <f t="shared" si="0"/>
        <v>35000</v>
      </c>
    </row>
    <row r="9" spans="1:10" x14ac:dyDescent="0.25">
      <c r="A9" s="8" t="s">
        <v>30</v>
      </c>
      <c r="B9" s="17" t="s">
        <v>38</v>
      </c>
      <c r="C9" s="8" t="s">
        <v>15</v>
      </c>
      <c r="D9" s="12">
        <v>75000</v>
      </c>
      <c r="E9" s="9" t="s">
        <v>18</v>
      </c>
      <c r="F9" s="12">
        <v>113000</v>
      </c>
      <c r="G9" s="14">
        <v>4</v>
      </c>
      <c r="H9" s="13">
        <f t="shared" si="0"/>
        <v>38000</v>
      </c>
    </row>
    <row r="10" spans="1:10" x14ac:dyDescent="0.25">
      <c r="A10" s="8" t="s">
        <v>31</v>
      </c>
      <c r="B10" s="17" t="s">
        <v>39</v>
      </c>
      <c r="C10" s="8" t="s">
        <v>19</v>
      </c>
      <c r="D10" s="12">
        <v>10500</v>
      </c>
      <c r="E10" s="9" t="s">
        <v>10</v>
      </c>
      <c r="F10" s="12">
        <v>15000</v>
      </c>
      <c r="G10" s="14">
        <v>40</v>
      </c>
      <c r="H10" s="13">
        <f t="shared" si="0"/>
        <v>4500</v>
      </c>
    </row>
    <row r="11" spans="1:10" x14ac:dyDescent="0.25">
      <c r="A11" s="8" t="s">
        <v>32</v>
      </c>
      <c r="B11" s="17" t="s">
        <v>40</v>
      </c>
      <c r="C11" s="8" t="s">
        <v>20</v>
      </c>
      <c r="D11" s="12">
        <v>13000</v>
      </c>
      <c r="E11" s="9" t="s">
        <v>22</v>
      </c>
      <c r="F11" s="12">
        <v>25000</v>
      </c>
      <c r="G11" s="14">
        <v>40</v>
      </c>
      <c r="H11" s="13">
        <f t="shared" si="0"/>
        <v>12000</v>
      </c>
    </row>
    <row r="12" spans="1:10" x14ac:dyDescent="0.25">
      <c r="A12" s="8" t="s">
        <v>27</v>
      </c>
      <c r="B12" s="17" t="s">
        <v>41</v>
      </c>
      <c r="C12" s="8" t="s">
        <v>21</v>
      </c>
      <c r="D12" s="12">
        <v>15000</v>
      </c>
      <c r="E12" s="9" t="s">
        <v>23</v>
      </c>
      <c r="F12" s="12">
        <v>35000</v>
      </c>
      <c r="G12" s="14">
        <v>40</v>
      </c>
      <c r="H12" s="13">
        <f t="shared" si="0"/>
        <v>20000</v>
      </c>
    </row>
    <row r="13" spans="1:10" x14ac:dyDescent="0.25">
      <c r="A13" s="18"/>
      <c r="B13" s="18"/>
      <c r="C13" s="18"/>
      <c r="D13" s="19"/>
      <c r="E13" s="18"/>
      <c r="F13" s="19"/>
      <c r="G13" s="14"/>
      <c r="H13" s="13"/>
    </row>
    <row r="14" spans="1:10" x14ac:dyDescent="0.25">
      <c r="A14" s="18"/>
      <c r="B14" s="18"/>
      <c r="C14" s="18"/>
      <c r="D14" s="19"/>
      <c r="E14" s="18"/>
      <c r="F14" s="19"/>
      <c r="G14" s="14"/>
      <c r="H14" s="13"/>
    </row>
    <row r="15" spans="1:10" x14ac:dyDescent="0.25">
      <c r="A15" s="8"/>
      <c r="B15" s="17"/>
      <c r="C15" s="8"/>
      <c r="D15" s="12"/>
      <c r="E15" s="9"/>
      <c r="F15" s="12"/>
      <c r="G15" s="14"/>
      <c r="H15" s="13"/>
    </row>
    <row r="16" spans="1:10" x14ac:dyDescent="0.25">
      <c r="A16" s="8"/>
      <c r="B16" s="17"/>
      <c r="C16" s="8"/>
      <c r="D16" s="12"/>
      <c r="E16" s="9"/>
      <c r="F16" s="12"/>
      <c r="G16" s="14"/>
      <c r="H16" s="13"/>
    </row>
    <row r="17" spans="1:7" x14ac:dyDescent="0.25">
      <c r="A17" s="8"/>
      <c r="B17" s="8"/>
      <c r="C17" s="8"/>
      <c r="D17" s="12"/>
      <c r="E17" s="9"/>
      <c r="F17" s="12"/>
      <c r="G17" s="14"/>
    </row>
    <row r="18" spans="1:7" x14ac:dyDescent="0.25">
      <c r="A18" s="8"/>
      <c r="B18" s="8"/>
      <c r="C18" s="8"/>
      <c r="D18" s="12"/>
      <c r="E18" s="9"/>
      <c r="F18" s="12"/>
      <c r="G18" s="14"/>
    </row>
  </sheetData>
  <phoneticPr fontId="4" type="noConversion"/>
  <conditionalFormatting sqref="A3">
    <cfRule type="duplicateValues" dxfId="17" priority="5"/>
    <cfRule type="duplicateValues" dxfId="16" priority="8"/>
  </conditionalFormatting>
  <conditionalFormatting sqref="A1:B3">
    <cfRule type="duplicateValues" dxfId="15" priority="3"/>
  </conditionalFormatting>
  <conditionalFormatting sqref="B2:B3">
    <cfRule type="duplicateValues" dxfId="14" priority="4"/>
  </conditionalFormatting>
  <conditionalFormatting sqref="B3">
    <cfRule type="duplicateValues" dxfId="13" priority="6"/>
    <cfRule type="duplicateValues" dxfId="12" priority="7"/>
  </conditionalFormatting>
  <conditionalFormatting sqref="A1:A12 A15:A1048576">
    <cfRule type="duplicateValues" dxfId="11" priority="2"/>
  </conditionalFormatting>
  <conditionalFormatting sqref="B1:B12 B15:B1048576">
    <cfRule type="duplicateValues" dxfId="1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69C-C951-4295-B068-D87811B8FC82}">
  <dimension ref="A1:M18"/>
  <sheetViews>
    <sheetView tabSelected="1" workbookViewId="0">
      <pane ySplit="3" topLeftCell="A4" activePane="bottomLeft" state="frozen"/>
      <selection pane="bottomLeft" activeCell="E26" sqref="E26"/>
    </sheetView>
  </sheetViews>
  <sheetFormatPr defaultRowHeight="15" x14ac:dyDescent="0.25"/>
  <cols>
    <col min="1" max="1" width="10.140625" bestFit="1" customWidth="1"/>
    <col min="2" max="2" width="15.5703125" customWidth="1"/>
    <col min="3" max="3" width="40.5703125" customWidth="1"/>
    <col min="4" max="4" width="18" style="13" customWidth="1"/>
    <col min="5" max="5" width="16.140625" customWidth="1"/>
    <col min="6" max="6" width="19.28515625" style="13" customWidth="1"/>
    <col min="7" max="7" width="9.140625" style="15" bestFit="1" customWidth="1"/>
    <col min="8" max="8" width="14" customWidth="1"/>
    <col min="10" max="10" width="15.140625" style="13" customWidth="1"/>
    <col min="11" max="11" width="15" customWidth="1"/>
    <col min="12" max="12" width="14" style="13" customWidth="1"/>
    <col min="13" max="13" width="13.85546875" style="13" customWidth="1"/>
  </cols>
  <sheetData>
    <row r="1" spans="1:13" x14ac:dyDescent="0.25">
      <c r="B1" s="1"/>
      <c r="C1" s="2" t="s">
        <v>6</v>
      </c>
      <c r="D1" s="10"/>
      <c r="E1" s="3"/>
      <c r="F1" s="10"/>
    </row>
    <row r="2" spans="1:13" x14ac:dyDescent="0.25">
      <c r="B2" s="1"/>
      <c r="D2" s="10"/>
      <c r="E2" s="3"/>
      <c r="F2" s="10"/>
      <c r="J2" s="20"/>
    </row>
    <row r="3" spans="1:13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42</v>
      </c>
      <c r="F3" s="11" t="s">
        <v>4</v>
      </c>
      <c r="G3" s="5" t="s">
        <v>59</v>
      </c>
      <c r="J3" s="21" t="s">
        <v>55</v>
      </c>
      <c r="K3" s="22" t="s">
        <v>56</v>
      </c>
      <c r="L3" s="21" t="s">
        <v>57</v>
      </c>
    </row>
    <row r="4" spans="1:13" x14ac:dyDescent="0.25">
      <c r="A4" s="8" t="s">
        <v>49</v>
      </c>
      <c r="B4" s="17" t="s">
        <v>45</v>
      </c>
      <c r="C4" s="8" t="s">
        <v>43</v>
      </c>
      <c r="D4" s="12">
        <v>155000</v>
      </c>
      <c r="E4" s="9" t="s">
        <v>47</v>
      </c>
      <c r="F4" s="12">
        <v>220000</v>
      </c>
      <c r="G4" s="14">
        <v>6</v>
      </c>
      <c r="H4" s="13">
        <f>F4-D4</f>
        <v>65000</v>
      </c>
      <c r="J4" s="19"/>
      <c r="K4" s="18"/>
      <c r="L4" s="19"/>
      <c r="M4" s="13">
        <f>L4-J4</f>
        <v>0</v>
      </c>
    </row>
    <row r="5" spans="1:13" x14ac:dyDescent="0.25">
      <c r="A5" s="8" t="s">
        <v>50</v>
      </c>
      <c r="B5" s="17" t="s">
        <v>46</v>
      </c>
      <c r="C5" s="8" t="s">
        <v>44</v>
      </c>
      <c r="D5" s="12">
        <v>180000</v>
      </c>
      <c r="E5" s="9" t="s">
        <v>48</v>
      </c>
      <c r="F5" s="12">
        <v>250000</v>
      </c>
      <c r="G5" s="14">
        <v>4</v>
      </c>
      <c r="H5" s="13">
        <f>F5-D5</f>
        <v>70000</v>
      </c>
      <c r="J5" s="19"/>
      <c r="K5" s="18"/>
      <c r="L5" s="19"/>
      <c r="M5" s="13">
        <f t="shared" ref="M5:M7" si="0">L5-J5</f>
        <v>0</v>
      </c>
    </row>
    <row r="6" spans="1:13" x14ac:dyDescent="0.25">
      <c r="A6" s="8" t="s">
        <v>54</v>
      </c>
      <c r="B6" s="17" t="s">
        <v>53</v>
      </c>
      <c r="C6" s="8" t="s">
        <v>51</v>
      </c>
      <c r="D6" s="12">
        <v>184000</v>
      </c>
      <c r="E6" s="9" t="s">
        <v>52</v>
      </c>
      <c r="F6" s="12"/>
      <c r="G6" s="14">
        <v>1</v>
      </c>
      <c r="H6" s="13">
        <f>F6-D6</f>
        <v>-184000</v>
      </c>
      <c r="J6" s="19">
        <v>2800</v>
      </c>
      <c r="K6" s="18" t="s">
        <v>58</v>
      </c>
      <c r="L6" s="19">
        <v>7000</v>
      </c>
      <c r="M6" s="13">
        <f t="shared" si="0"/>
        <v>4200</v>
      </c>
    </row>
    <row r="7" spans="1:13" x14ac:dyDescent="0.25">
      <c r="A7" s="8" t="s">
        <v>61</v>
      </c>
      <c r="B7" s="17" t="s">
        <v>62</v>
      </c>
      <c r="C7" s="8" t="s">
        <v>63</v>
      </c>
      <c r="D7" s="12">
        <v>200000</v>
      </c>
      <c r="E7" s="9" t="s">
        <v>60</v>
      </c>
      <c r="F7" s="12">
        <v>265000</v>
      </c>
      <c r="G7" s="14">
        <v>6</v>
      </c>
      <c r="H7" s="13">
        <f>F7-D7</f>
        <v>65000</v>
      </c>
      <c r="J7" s="19">
        <v>498</v>
      </c>
      <c r="K7" s="18" t="s">
        <v>64</v>
      </c>
      <c r="L7" s="19">
        <v>5000</v>
      </c>
      <c r="M7" s="13">
        <f t="shared" si="0"/>
        <v>4502</v>
      </c>
    </row>
    <row r="8" spans="1:13" x14ac:dyDescent="0.25">
      <c r="A8" s="8"/>
      <c r="B8" s="17"/>
      <c r="C8" s="8"/>
      <c r="D8" s="12"/>
      <c r="E8" s="9"/>
      <c r="F8" s="12"/>
      <c r="G8" s="14"/>
      <c r="H8" s="13"/>
      <c r="J8" s="19"/>
      <c r="K8" s="18"/>
      <c r="L8" s="19"/>
    </row>
    <row r="9" spans="1:13" x14ac:dyDescent="0.25">
      <c r="A9" s="8"/>
      <c r="B9" s="17"/>
      <c r="C9" s="8"/>
      <c r="D9" s="12"/>
      <c r="E9" s="9"/>
      <c r="F9" s="12"/>
      <c r="G9" s="14"/>
      <c r="H9" s="13"/>
      <c r="J9" s="19"/>
      <c r="K9" s="18"/>
      <c r="L9" s="19"/>
    </row>
    <row r="10" spans="1:13" x14ac:dyDescent="0.25">
      <c r="A10" s="8"/>
      <c r="B10" s="17"/>
      <c r="C10" s="8"/>
      <c r="D10" s="12"/>
      <c r="E10" s="9"/>
      <c r="F10" s="12"/>
      <c r="G10" s="14"/>
      <c r="H10" s="13"/>
      <c r="J10" s="19"/>
      <c r="K10" s="18"/>
      <c r="L10" s="19"/>
    </row>
    <row r="11" spans="1:13" x14ac:dyDescent="0.25">
      <c r="A11" s="8"/>
      <c r="B11" s="17"/>
      <c r="C11" s="8"/>
      <c r="D11" s="12"/>
      <c r="E11" s="9"/>
      <c r="F11" s="12"/>
      <c r="G11" s="14"/>
      <c r="H11" s="13"/>
      <c r="J11" s="19"/>
      <c r="K11" s="18"/>
      <c r="L11" s="19"/>
    </row>
    <row r="12" spans="1:13" x14ac:dyDescent="0.25">
      <c r="A12" s="8"/>
      <c r="B12" s="17"/>
      <c r="C12" s="8"/>
      <c r="D12" s="12"/>
      <c r="E12" s="9"/>
      <c r="F12" s="12"/>
      <c r="G12" s="14"/>
      <c r="H12" s="13"/>
      <c r="J12" s="19"/>
      <c r="K12" s="18"/>
      <c r="L12" s="19"/>
    </row>
    <row r="13" spans="1:13" x14ac:dyDescent="0.25">
      <c r="A13" s="8"/>
      <c r="B13" s="17"/>
      <c r="C13" s="8"/>
      <c r="D13" s="12"/>
      <c r="E13" s="9"/>
      <c r="F13" s="12"/>
      <c r="G13" s="14"/>
      <c r="H13" s="13"/>
      <c r="J13" s="19"/>
      <c r="K13" s="18"/>
      <c r="L13" s="19"/>
    </row>
    <row r="14" spans="1:13" x14ac:dyDescent="0.25">
      <c r="A14" s="8"/>
      <c r="B14" s="17"/>
      <c r="C14" s="8"/>
      <c r="D14" s="12"/>
      <c r="E14" s="9"/>
      <c r="F14" s="12"/>
      <c r="G14" s="14"/>
      <c r="H14" s="13"/>
      <c r="J14" s="19"/>
      <c r="K14" s="18"/>
      <c r="L14" s="19"/>
    </row>
    <row r="15" spans="1:13" x14ac:dyDescent="0.25">
      <c r="A15" s="8"/>
      <c r="B15" s="17"/>
      <c r="C15" s="8"/>
      <c r="D15" s="12"/>
      <c r="E15" s="9"/>
      <c r="F15" s="12"/>
      <c r="G15" s="14"/>
      <c r="H15" s="13"/>
      <c r="J15" s="19"/>
      <c r="K15" s="18"/>
      <c r="L15" s="19"/>
    </row>
    <row r="16" spans="1:13" x14ac:dyDescent="0.25">
      <c r="A16" s="8"/>
      <c r="B16" s="17"/>
      <c r="C16" s="8"/>
      <c r="D16" s="12"/>
      <c r="E16" s="9"/>
      <c r="F16" s="12"/>
      <c r="G16" s="14"/>
      <c r="H16" s="13"/>
      <c r="J16" s="19"/>
      <c r="K16" s="18"/>
      <c r="L16" s="19"/>
    </row>
    <row r="17" spans="1:12" x14ac:dyDescent="0.25">
      <c r="A17" s="8"/>
      <c r="B17" s="8"/>
      <c r="C17" s="8"/>
      <c r="D17" s="12"/>
      <c r="E17" s="9"/>
      <c r="F17" s="12"/>
      <c r="G17" s="14"/>
      <c r="J17" s="19"/>
      <c r="K17" s="18"/>
      <c r="L17" s="19"/>
    </row>
    <row r="18" spans="1:12" x14ac:dyDescent="0.25">
      <c r="A18" s="8"/>
      <c r="B18" s="8"/>
      <c r="C18" s="8"/>
      <c r="D18" s="12"/>
      <c r="E18" s="9"/>
      <c r="F18" s="12"/>
      <c r="G18" s="14"/>
      <c r="J18" s="19"/>
      <c r="K18" s="18"/>
      <c r="L18" s="19"/>
    </row>
  </sheetData>
  <phoneticPr fontId="4" type="noConversion"/>
  <conditionalFormatting sqref="A3">
    <cfRule type="duplicateValues" dxfId="9" priority="7"/>
    <cfRule type="duplicateValues" dxfId="8" priority="10"/>
  </conditionalFormatting>
  <conditionalFormatting sqref="A1:B3">
    <cfRule type="duplicateValues" dxfId="7" priority="5"/>
  </conditionalFormatting>
  <conditionalFormatting sqref="B2:B3">
    <cfRule type="duplicateValues" dxfId="6" priority="6"/>
  </conditionalFormatting>
  <conditionalFormatting sqref="B3">
    <cfRule type="duplicateValues" dxfId="5" priority="8"/>
    <cfRule type="duplicateValues" dxfId="4" priority="9"/>
  </conditionalFormatting>
  <conditionalFormatting sqref="A1:A3 A8:A1048576">
    <cfRule type="duplicateValues" dxfId="3" priority="4"/>
  </conditionalFormatting>
  <conditionalFormatting sqref="B1:B3 B8:B1048576">
    <cfRule type="duplicateValues" dxfId="2" priority="3"/>
  </conditionalFormatting>
  <conditionalFormatting sqref="A4:A7">
    <cfRule type="duplicateValues" dxfId="1" priority="2"/>
  </conditionalFormatting>
  <conditionalFormatting sqref="B4:B7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Sekrup</vt:lpstr>
      <vt:lpstr>Baut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2026-05-22T08:19:32Z</dcterms:modified>
</cp:coreProperties>
</file>