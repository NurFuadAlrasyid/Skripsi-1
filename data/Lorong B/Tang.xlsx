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5F37EF60-4728-4785-A9E5-D42040FE44D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Kombinasi" sheetId="1" r:id="rId1"/>
    <sheet name="Potong" sheetId="2" r:id="rId2"/>
    <sheet name="Snap Ring" sheetId="4" r:id="rId3"/>
    <sheet name="Buaya" sheetId="5" r:id="rId4"/>
    <sheet name="Lancip" sheetId="6" r:id="rId5"/>
    <sheet name="Rivet" sheetId="7" r:id="rId6"/>
    <sheet name="La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lk5pF5kw1r2FMFFoAZVVHMRnM7S/U4Z45N6jxcEyXJA="/>
    </ext>
  </extLst>
</workbook>
</file>

<file path=xl/calcChain.xml><?xml version="1.0" encoding="utf-8"?>
<calcChain xmlns="http://schemas.openxmlformats.org/spreadsheetml/2006/main">
  <c r="H13" i="4" l="1"/>
  <c r="H12" i="4"/>
  <c r="H11" i="4"/>
  <c r="H10" i="4"/>
  <c r="H5" i="8"/>
  <c r="H4" i="8"/>
  <c r="H8" i="5"/>
  <c r="H5" i="7"/>
  <c r="H5" i="6"/>
  <c r="H6" i="6"/>
  <c r="H7" i="6"/>
  <c r="H4" i="6"/>
  <c r="H4" i="7"/>
  <c r="H15" i="2"/>
  <c r="H5" i="2"/>
  <c r="H6" i="2"/>
  <c r="H7" i="2"/>
  <c r="H8" i="2"/>
  <c r="H9" i="2"/>
  <c r="H10" i="2"/>
  <c r="H11" i="2"/>
  <c r="H12" i="2"/>
  <c r="H13" i="2"/>
  <c r="H14" i="2"/>
  <c r="H4" i="2"/>
  <c r="H5" i="4"/>
  <c r="H6" i="4"/>
  <c r="H7" i="4"/>
  <c r="H8" i="4"/>
  <c r="H9" i="4"/>
  <c r="H4" i="4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4" i="1"/>
  <c r="H7" i="5"/>
  <c r="H5" i="5"/>
  <c r="H6" i="5"/>
  <c r="H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BAF669E4-92A4-43B1-A642-F7BC03C5B70D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2DFCFB2C-74BF-4470-8061-95FFA4816BF6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1B7027AA-4387-4ADC-896C-1A188A8BD43E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E8242971-EC10-4C82-88F0-A931473CD938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5AF5F782-4642-4413-852C-1C7F9E54E4A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24823602-19E5-43AD-A2BB-965698D062C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sharedStrings.xml><?xml version="1.0" encoding="utf-8"?>
<sst xmlns="http://schemas.openxmlformats.org/spreadsheetml/2006/main" count="233" uniqueCount="178">
  <si>
    <t>Kode Item</t>
  </si>
  <si>
    <t>Barcode</t>
  </si>
  <si>
    <t>Nama Item</t>
  </si>
  <si>
    <t>Harga Pokok</t>
  </si>
  <si>
    <t>Harga Jual</t>
  </si>
  <si>
    <t>Stok Awal</t>
  </si>
  <si>
    <t>UZ-TW</t>
  </si>
  <si>
    <t>TANG</t>
  </si>
  <si>
    <t>Tang Kombinasi Strauss 7"</t>
  </si>
  <si>
    <t>Tang Kombinasi Strauss 8"</t>
  </si>
  <si>
    <t>Tang Lancip Tekiro 8"</t>
  </si>
  <si>
    <t>Tang Potong Tekiro 8"</t>
  </si>
  <si>
    <t>Tang Kombinasi Tekiro 7"</t>
  </si>
  <si>
    <t>Tang Kombinasi Tekiro 6"</t>
  </si>
  <si>
    <t>Tang Buka Tekiro 7"</t>
  </si>
  <si>
    <t>TS-TW</t>
  </si>
  <si>
    <t>VQU-APD</t>
  </si>
  <si>
    <t>UZU-TW</t>
  </si>
  <si>
    <t>TZ-SJS</t>
  </si>
  <si>
    <t>USQ-TW</t>
  </si>
  <si>
    <t>SQ-DL</t>
  </si>
  <si>
    <t>SZU-JLT</t>
  </si>
  <si>
    <t>Tang Lancip Lipro 8"</t>
  </si>
  <si>
    <t>Tang Buaya Tekiro 18"</t>
  </si>
  <si>
    <t>Tang Buaya Hioshi 10"</t>
  </si>
  <si>
    <t>Tang Buaya Black Pro</t>
  </si>
  <si>
    <t>WQ-SBT</t>
  </si>
  <si>
    <t>URU-CT/SW</t>
  </si>
  <si>
    <t>UVU-JLT</t>
  </si>
  <si>
    <t>QSQU-BB</t>
  </si>
  <si>
    <t>XV-SJS</t>
  </si>
  <si>
    <t>QTW-BB</t>
  </si>
  <si>
    <t>QQS-BB</t>
  </si>
  <si>
    <t>QUZU-BB</t>
  </si>
  <si>
    <t>UV-TW</t>
  </si>
  <si>
    <t>SR-JLT</t>
  </si>
  <si>
    <t>Tang Kombinasi Haston 7"</t>
  </si>
  <si>
    <t>Tang Kombinasi Wanly 7"</t>
  </si>
  <si>
    <t>Tang Kombinasi Majesty</t>
  </si>
  <si>
    <t>Tang Potong D-Xplore 6"</t>
  </si>
  <si>
    <t>Tang Kombinasi Camel 8"</t>
  </si>
  <si>
    <t>Tang Potong Velos</t>
  </si>
  <si>
    <t>TU-CPM</t>
  </si>
  <si>
    <t>QTU-CT/SW</t>
  </si>
  <si>
    <t>TU-TW</t>
  </si>
  <si>
    <t>QV-CT/SW</t>
  </si>
  <si>
    <t>QQU-DL</t>
  </si>
  <si>
    <t>SU-SBA</t>
  </si>
  <si>
    <t>TWU-JIT</t>
  </si>
  <si>
    <t>TWU-TW</t>
  </si>
  <si>
    <t>Tang Lancip Texas 6"</t>
  </si>
  <si>
    <t>Tang Potong Kentaro 8"</t>
  </si>
  <si>
    <t>Tang Kombinasi Tosita 7"</t>
  </si>
  <si>
    <t>Tang Potong Aldo 7"</t>
  </si>
  <si>
    <t>Tang Potong Aldo 6"</t>
  </si>
  <si>
    <t>Tang Kombinasi Jetjo 6"</t>
  </si>
  <si>
    <t>Tang Potong Jetjo 4.5"</t>
  </si>
  <si>
    <t>QR-CT</t>
  </si>
  <si>
    <t>SY-DL</t>
  </si>
  <si>
    <t>STU-JIT</t>
  </si>
  <si>
    <t>TZU-APD</t>
  </si>
  <si>
    <t>SYQU-MPU</t>
  </si>
  <si>
    <t>RSWU-JETJO</t>
  </si>
  <si>
    <t>RRU-MPU</t>
  </si>
  <si>
    <t>TQ-MPU</t>
  </si>
  <si>
    <t>TANG BUAYA</t>
  </si>
  <si>
    <t>TANG POTONG</t>
  </si>
  <si>
    <t>TP1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</si>
  <si>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</si>
  <si>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</si>
  <si>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</si>
  <si>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</si>
  <si>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</si>
  <si>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</si>
  <si>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</si>
  <si>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</si>
  <si>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</si>
  <si>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TP11</t>
  </si>
  <si>
    <t>Tang Potong Toho 6"</t>
  </si>
  <si>
    <t>Tang Potong Tengka 8"</t>
  </si>
  <si>
    <t>Tang Potong Nishio</t>
  </si>
  <si>
    <t>Tang Lancip Jetjo Tools 4.5"</t>
  </si>
  <si>
    <t>Tang Potong Jetjo Tools 7"</t>
  </si>
  <si>
    <t>Kode Barang</t>
  </si>
  <si>
    <t>TANG KOMBINASI</t>
  </si>
  <si>
    <t>TK1</t>
  </si>
  <si>
    <t>TK2</t>
  </si>
  <si>
    <t>TK3</t>
  </si>
  <si>
    <t>TK4</t>
  </si>
  <si>
    <t>TK5</t>
  </si>
  <si>
    <t>TK6</t>
  </si>
  <si>
    <t>TK7</t>
  </si>
  <si>
    <t>TK8</t>
  </si>
  <si>
    <t>TK9</t>
  </si>
  <si>
    <t>TK10</t>
  </si>
  <si>
    <t>TK11</t>
  </si>
  <si>
    <t>TK12</t>
  </si>
  <si>
    <t>TK13</t>
  </si>
  <si>
    <t>TK14</t>
  </si>
  <si>
    <t>TK15</t>
  </si>
  <si>
    <t>TK16</t>
  </si>
  <si>
    <t>TK17</t>
  </si>
  <si>
    <t>Tang Kombinasi Stavic STV-TK-820 7"</t>
  </si>
  <si>
    <t>QRU-MJA</t>
  </si>
  <si>
    <t>8990382002117</t>
  </si>
  <si>
    <t>Ada Barcode di Barang</t>
  </si>
  <si>
    <t>Tang Kombinasi GFL 8"</t>
  </si>
  <si>
    <t>Tang Kombinasi GFL 6"</t>
  </si>
  <si>
    <t>Tang Kombinasi Toho (Crimping)</t>
  </si>
  <si>
    <t>Tang Kombinasi Maxtech 7"</t>
  </si>
  <si>
    <t>Tang Kombinasi Toho 8"</t>
  </si>
  <si>
    <t>557688225077</t>
  </si>
  <si>
    <t>Tang Kombinasi Lipro 225N 8"</t>
  </si>
  <si>
    <t>Tang Kombinasi Lipro 225-7 7"</t>
  </si>
  <si>
    <t>5151828722508</t>
  </si>
  <si>
    <t>TK18</t>
  </si>
  <si>
    <t>K021318A</t>
  </si>
  <si>
    <t>TL1</t>
  </si>
  <si>
    <t>TL2</t>
  </si>
  <si>
    <t>TL3</t>
  </si>
  <si>
    <t>TANG LANCIP</t>
  </si>
  <si>
    <t>Buaya1</t>
  </si>
  <si>
    <t>Buaya2</t>
  </si>
  <si>
    <t>Buaya3</t>
  </si>
  <si>
    <t>Tang Buaya Bonucci 10"</t>
  </si>
  <si>
    <t>SRU-DL</t>
  </si>
  <si>
    <t>Buaya4</t>
  </si>
  <si>
    <t>Sudah Upload di Sistem</t>
  </si>
  <si>
    <t>8994175060445</t>
  </si>
  <si>
    <t>8994175002308</t>
  </si>
  <si>
    <t>TTV-SJS</t>
  </si>
  <si>
    <t>Snap Ring Tekiro PL-SR0778 7"</t>
  </si>
  <si>
    <t>US-SJS</t>
  </si>
  <si>
    <t>8994175002742</t>
  </si>
  <si>
    <t>snap1</t>
  </si>
  <si>
    <t>snap2</t>
  </si>
  <si>
    <t>snap3</t>
  </si>
  <si>
    <t>snap4</t>
  </si>
  <si>
    <t>snap5</t>
  </si>
  <si>
    <t>snap6</t>
  </si>
  <si>
    <t>snap7</t>
  </si>
  <si>
    <t>snap8</t>
  </si>
  <si>
    <t>Tang Potong Tekiro 6"</t>
  </si>
  <si>
    <t>8994175002315</t>
  </si>
  <si>
    <t>TP12</t>
  </si>
  <si>
    <t>TANG RIVET</t>
  </si>
  <si>
    <t>rivet1</t>
  </si>
  <si>
    <t>Tang Rivet ATS 10"</t>
  </si>
  <si>
    <t>SYU-JM</t>
  </si>
  <si>
    <t>Tang Lancip Kentaro 6"</t>
  </si>
  <si>
    <t>UVU-JM</t>
  </si>
  <si>
    <t>TL4</t>
  </si>
  <si>
    <t>K021305A</t>
  </si>
  <si>
    <t>Tang Rivet Majesty 10"</t>
  </si>
  <si>
    <t>SRU-JM</t>
  </si>
  <si>
    <t>rivet2</t>
  </si>
  <si>
    <t>Tang Buaya Tekiro 10"</t>
  </si>
  <si>
    <t>YS-DL</t>
  </si>
  <si>
    <t>Buaya5</t>
  </si>
  <si>
    <t>8994175001196</t>
  </si>
  <si>
    <t>TANG LAS</t>
  </si>
  <si>
    <t>Stok</t>
  </si>
  <si>
    <t>Tang Las Branch BSLG-308i</t>
  </si>
  <si>
    <t>TVU-CT</t>
  </si>
  <si>
    <t>tanglas1</t>
  </si>
  <si>
    <t>Snap Ring Pliers IB 7" Jetjo Tools</t>
  </si>
  <si>
    <t>Snap Ring Pliers ES 7" Jetjo Tools</t>
  </si>
  <si>
    <t>Snap Ring Pliers EB 7" Jetjo Tools</t>
  </si>
  <si>
    <t>Snap Ring Pliers IS 7" Jetjo Tools</t>
  </si>
  <si>
    <t>UR-STI</t>
  </si>
  <si>
    <t>UTU-STI</t>
  </si>
  <si>
    <t>UZ-STI</t>
  </si>
  <si>
    <t>snap9</t>
  </si>
  <si>
    <t>snap10</t>
  </si>
  <si>
    <t>6912980954423</t>
  </si>
  <si>
    <t>6912980954393</t>
  </si>
  <si>
    <t>6912980954362</t>
  </si>
  <si>
    <t>6912980954454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</si>
</sst>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0" fillId="3" borderId="0" xfId="0" applyFill="1"/>
    <xf numFmtId="0" fontId="0" fillId="4" borderId="0" xfId="0" applyFill="1"/>
    <xf numFmtId="0" fontId="3" fillId="4" borderId="1" xfId="0" applyFont="1" applyFill="1" applyBorder="1" applyAlignment="1">
      <alignment horizontal="left" vertical="center"/>
    </xf>
    <xf numFmtId="42" fontId="1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49" fontId="1" fillId="3" borderId="1" xfId="0" quotePrefix="1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42" fontId="1" fillId="5" borderId="1" xfId="0" applyNumberFormat="1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49" fontId="1" fillId="4" borderId="0" xfId="0" applyNumberFormat="1" applyFont="1" applyFill="1"/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vertical="center"/>
    </xf>
    <xf numFmtId="0" fontId="3" fillId="6" borderId="1" xfId="0" applyFont="1" applyFill="1" applyBorder="1" applyAlignment="1">
      <alignment horizontal="left" vertical="center"/>
    </xf>
    <xf numFmtId="42" fontId="1" fillId="6" borderId="1" xfId="0" applyNumberFormat="1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0" fillId="6" borderId="0" xfId="0" applyFill="1"/>
    <xf numFmtId="0" fontId="1" fillId="0" borderId="1" xfId="0" quotePrefix="1" applyFont="1" applyBorder="1" applyAlignment="1">
      <alignment horizontal="left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5"/>
  <sheetViews>
    <sheetView workbookViewId="0">
      <pane ySplit="3" topLeftCell="A4" activePane="bottomLeft" state="frozen"/>
      <selection pane="bottomLeft" activeCell="K16" sqref="K16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5" customWidth="1"/>
    <col min="4" max="4" width="15.85546875" style="17" customWidth="1"/>
    <col min="5" max="5" width="13.5703125" customWidth="1"/>
    <col min="6" max="6" width="15" style="17" customWidth="1"/>
    <col min="7" max="7" width="9.140625" style="19" customWidth="1"/>
    <col min="8" max="8" width="16" customWidth="1"/>
    <col min="9" max="9" width="6.42578125" customWidth="1"/>
    <col min="10" max="10" width="6" customWidth="1"/>
    <col min="11" max="27" width="8.7109375" customWidth="1"/>
  </cols>
  <sheetData>
    <row r="1" spans="1:11" ht="14.25" customHeight="1" x14ac:dyDescent="0.25">
      <c r="B1" s="1"/>
      <c r="C1" s="13" t="s">
        <v>84</v>
      </c>
      <c r="D1" s="14"/>
      <c r="E1" s="2"/>
      <c r="F1" s="14"/>
    </row>
    <row r="2" spans="1:11" ht="14.25" customHeight="1" x14ac:dyDescent="0.25">
      <c r="B2" s="1"/>
      <c r="D2" s="14"/>
      <c r="E2" s="2"/>
      <c r="F2" s="14"/>
      <c r="K2" s="3"/>
    </row>
    <row r="3" spans="1:11" ht="19.5" customHeight="1" x14ac:dyDescent="0.25">
      <c r="A3" s="4" t="s">
        <v>0</v>
      </c>
      <c r="B3" s="20" t="s">
        <v>1</v>
      </c>
      <c r="C3" s="12" t="s">
        <v>2</v>
      </c>
      <c r="D3" s="15" t="s">
        <v>3</v>
      </c>
      <c r="E3" s="6" t="s">
        <v>83</v>
      </c>
      <c r="F3" s="15" t="s">
        <v>4</v>
      </c>
      <c r="G3" s="4" t="s">
        <v>5</v>
      </c>
      <c r="J3" s="40"/>
      <c r="K3" s="35" t="s">
        <v>127</v>
      </c>
    </row>
    <row r="4" spans="1:11" ht="14.25" customHeight="1" x14ac:dyDescent="0.25">
      <c r="A4" s="10" t="s">
        <v>85</v>
      </c>
      <c r="B4" s="8"/>
      <c r="C4" s="10" t="s">
        <v>8</v>
      </c>
      <c r="D4" s="16">
        <v>43000</v>
      </c>
      <c r="E4" s="11" t="s">
        <v>15</v>
      </c>
      <c r="F4" s="16">
        <v>85000</v>
      </c>
      <c r="G4" s="18"/>
      <c r="H4" s="17">
        <f>F4-D4</f>
        <v>42000</v>
      </c>
    </row>
    <row r="5" spans="1:11" ht="14.25" customHeight="1" x14ac:dyDescent="0.25">
      <c r="A5" s="10" t="s">
        <v>86</v>
      </c>
      <c r="B5" s="8"/>
      <c r="C5" s="10" t="s">
        <v>9</v>
      </c>
      <c r="D5" s="16">
        <v>50000</v>
      </c>
      <c r="E5" s="11" t="s">
        <v>6</v>
      </c>
      <c r="F5" s="16">
        <v>125000</v>
      </c>
      <c r="G5" s="18"/>
      <c r="H5" s="17">
        <f t="shared" ref="H5:H21" si="0">F5-D5</f>
        <v>75000</v>
      </c>
      <c r="J5" s="22"/>
      <c r="K5" t="s">
        <v>105</v>
      </c>
    </row>
    <row r="6" spans="1:11" ht="14.25" customHeight="1" x14ac:dyDescent="0.25">
      <c r="A6" s="10" t="s">
        <v>87</v>
      </c>
      <c r="B6" s="21" t="s">
        <v>129</v>
      </c>
      <c r="C6" s="36" t="s">
        <v>12</v>
      </c>
      <c r="D6" s="37">
        <v>44600</v>
      </c>
      <c r="E6" s="38" t="s">
        <v>130</v>
      </c>
      <c r="F6" s="37">
        <v>85000</v>
      </c>
      <c r="G6" s="39">
        <v>12</v>
      </c>
      <c r="H6" s="17">
        <f t="shared" si="0"/>
        <v>40400</v>
      </c>
    </row>
    <row r="7" spans="1:11" ht="14.25" customHeight="1" x14ac:dyDescent="0.25">
      <c r="A7" s="10" t="s">
        <v>88</v>
      </c>
      <c r="B7" s="21" t="s">
        <v>128</v>
      </c>
      <c r="C7" s="36" t="s">
        <v>13</v>
      </c>
      <c r="D7" s="37">
        <v>40000</v>
      </c>
      <c r="E7" s="38" t="s">
        <v>18</v>
      </c>
      <c r="F7" s="37">
        <v>80000</v>
      </c>
      <c r="G7" s="39">
        <v>12</v>
      </c>
      <c r="H7" s="17">
        <f t="shared" si="0"/>
        <v>40000</v>
      </c>
    </row>
    <row r="8" spans="1:11" ht="14.25" customHeight="1" x14ac:dyDescent="0.25">
      <c r="A8" s="10" t="s">
        <v>89</v>
      </c>
      <c r="B8" s="8"/>
      <c r="C8" s="10" t="s">
        <v>106</v>
      </c>
      <c r="D8" s="16">
        <v>31000</v>
      </c>
      <c r="E8" s="11" t="s">
        <v>20</v>
      </c>
      <c r="F8" s="16">
        <v>65000</v>
      </c>
      <c r="G8" s="18"/>
      <c r="H8" s="17">
        <f t="shared" si="0"/>
        <v>34000</v>
      </c>
    </row>
    <row r="9" spans="1:11" ht="14.25" customHeight="1" x14ac:dyDescent="0.25">
      <c r="A9" s="10" t="s">
        <v>90</v>
      </c>
      <c r="B9" s="8"/>
      <c r="C9" s="10" t="s">
        <v>107</v>
      </c>
      <c r="D9" s="16">
        <v>30500</v>
      </c>
      <c r="E9" s="11" t="s">
        <v>21</v>
      </c>
      <c r="F9" s="16">
        <v>55000</v>
      </c>
      <c r="G9" s="18"/>
      <c r="H9" s="17">
        <f t="shared" si="0"/>
        <v>24500</v>
      </c>
    </row>
    <row r="10" spans="1:11" ht="14.25" customHeight="1" x14ac:dyDescent="0.25">
      <c r="A10" s="10" t="s">
        <v>91</v>
      </c>
      <c r="B10" s="8"/>
      <c r="C10" s="10" t="s">
        <v>110</v>
      </c>
      <c r="D10" s="16">
        <v>131500</v>
      </c>
      <c r="E10" s="11" t="s">
        <v>29</v>
      </c>
      <c r="F10" s="16">
        <v>200000</v>
      </c>
      <c r="G10" s="18"/>
      <c r="H10" s="17">
        <f t="shared" si="0"/>
        <v>68500</v>
      </c>
    </row>
    <row r="11" spans="1:11" ht="14.25" customHeight="1" x14ac:dyDescent="0.25">
      <c r="A11" s="10" t="s">
        <v>92</v>
      </c>
      <c r="B11" s="8"/>
      <c r="C11" s="10" t="s">
        <v>108</v>
      </c>
      <c r="D11" s="16">
        <v>150500</v>
      </c>
      <c r="E11" s="11" t="s">
        <v>33</v>
      </c>
      <c r="F11" s="16">
        <v>275000</v>
      </c>
      <c r="G11" s="18"/>
      <c r="H11" s="17">
        <f t="shared" si="0"/>
        <v>124500</v>
      </c>
    </row>
    <row r="12" spans="1:11" ht="14.25" customHeight="1" x14ac:dyDescent="0.25">
      <c r="A12" s="10" t="s">
        <v>93</v>
      </c>
      <c r="B12" s="8"/>
      <c r="C12" s="10" t="s">
        <v>109</v>
      </c>
      <c r="D12" s="16">
        <v>32000</v>
      </c>
      <c r="E12" s="11" t="s">
        <v>35</v>
      </c>
      <c r="F12" s="16">
        <v>55000</v>
      </c>
      <c r="G12" s="18"/>
      <c r="H12" s="17">
        <f t="shared" si="0"/>
        <v>23000</v>
      </c>
    </row>
    <row r="13" spans="1:11" ht="14.25" customHeight="1" x14ac:dyDescent="0.25">
      <c r="A13" s="10" t="s">
        <v>94</v>
      </c>
      <c r="B13" s="8"/>
      <c r="C13" s="10" t="s">
        <v>36</v>
      </c>
      <c r="D13" s="16">
        <v>45000</v>
      </c>
      <c r="E13" s="11" t="s">
        <v>42</v>
      </c>
      <c r="F13" s="16">
        <v>85000</v>
      </c>
      <c r="G13" s="18"/>
      <c r="H13" s="17">
        <f t="shared" si="0"/>
        <v>40000</v>
      </c>
    </row>
    <row r="14" spans="1:11" ht="14.25" customHeight="1" x14ac:dyDescent="0.25">
      <c r="A14" s="10" t="s">
        <v>95</v>
      </c>
      <c r="B14" s="8"/>
      <c r="C14" s="10" t="s">
        <v>37</v>
      </c>
      <c r="D14" s="16">
        <v>14500</v>
      </c>
      <c r="E14" s="11" t="s">
        <v>43</v>
      </c>
      <c r="F14" s="16">
        <v>35000</v>
      </c>
      <c r="G14" s="18"/>
      <c r="H14" s="17">
        <f t="shared" si="0"/>
        <v>20500</v>
      </c>
    </row>
    <row r="15" spans="1:11" ht="14.25" customHeight="1" x14ac:dyDescent="0.25">
      <c r="A15" s="10" t="s">
        <v>96</v>
      </c>
      <c r="B15" s="8"/>
      <c r="C15" s="10" t="s">
        <v>38</v>
      </c>
      <c r="D15" s="16">
        <v>11500</v>
      </c>
      <c r="E15" s="11" t="s">
        <v>46</v>
      </c>
      <c r="F15" s="16">
        <v>35000</v>
      </c>
      <c r="G15" s="18"/>
      <c r="H15" s="17">
        <f t="shared" si="0"/>
        <v>23500</v>
      </c>
    </row>
    <row r="16" spans="1:11" ht="14.25" customHeight="1" x14ac:dyDescent="0.25">
      <c r="A16" s="10" t="s">
        <v>97</v>
      </c>
      <c r="B16" s="8"/>
      <c r="C16" s="10" t="s">
        <v>40</v>
      </c>
      <c r="D16" s="16">
        <v>47500</v>
      </c>
      <c r="E16" s="11" t="s">
        <v>48</v>
      </c>
      <c r="F16" s="16">
        <v>100000</v>
      </c>
      <c r="G16" s="18"/>
      <c r="H16" s="17">
        <f t="shared" si="0"/>
        <v>52500</v>
      </c>
    </row>
    <row r="17" spans="1:8" ht="14.25" customHeight="1" x14ac:dyDescent="0.25">
      <c r="A17" s="10" t="s">
        <v>98</v>
      </c>
      <c r="B17" s="8"/>
      <c r="C17" s="10" t="s">
        <v>52</v>
      </c>
      <c r="D17" s="16">
        <v>34500</v>
      </c>
      <c r="E17" s="11" t="s">
        <v>59</v>
      </c>
      <c r="F17" s="16">
        <v>65000</v>
      </c>
      <c r="G17" s="18"/>
      <c r="H17" s="17">
        <f t="shared" si="0"/>
        <v>30500</v>
      </c>
    </row>
    <row r="18" spans="1:8" ht="14.25" customHeight="1" x14ac:dyDescent="0.25">
      <c r="A18" s="10" t="s">
        <v>99</v>
      </c>
      <c r="B18" s="8"/>
      <c r="C18" s="10" t="s">
        <v>55</v>
      </c>
      <c r="D18" s="16">
        <v>39150</v>
      </c>
      <c r="E18" s="11" t="s">
        <v>61</v>
      </c>
      <c r="F18" s="16">
        <v>75000</v>
      </c>
      <c r="G18" s="18"/>
      <c r="H18" s="17">
        <f t="shared" si="0"/>
        <v>35850</v>
      </c>
    </row>
    <row r="19" spans="1:8" ht="14.25" customHeight="1" x14ac:dyDescent="0.25">
      <c r="A19" s="10" t="s">
        <v>100</v>
      </c>
      <c r="B19" s="21" t="s">
        <v>104</v>
      </c>
      <c r="C19" s="10" t="s">
        <v>102</v>
      </c>
      <c r="D19" s="16">
        <v>12500</v>
      </c>
      <c r="E19" s="11" t="s">
        <v>103</v>
      </c>
      <c r="F19" s="16">
        <v>30000</v>
      </c>
      <c r="G19" s="18">
        <v>12</v>
      </c>
      <c r="H19" s="17">
        <f t="shared" si="0"/>
        <v>17500</v>
      </c>
    </row>
    <row r="20" spans="1:8" ht="14.25" customHeight="1" x14ac:dyDescent="0.25">
      <c r="A20" s="10" t="s">
        <v>101</v>
      </c>
      <c r="B20" s="21" t="s">
        <v>111</v>
      </c>
      <c r="C20" s="10" t="s">
        <v>113</v>
      </c>
      <c r="D20" s="16">
        <v>71000</v>
      </c>
      <c r="E20" s="11" t="s">
        <v>26</v>
      </c>
      <c r="F20" s="16">
        <v>150000</v>
      </c>
      <c r="G20" s="18">
        <v>8</v>
      </c>
      <c r="H20" s="17">
        <f t="shared" si="0"/>
        <v>79000</v>
      </c>
    </row>
    <row r="21" spans="1:8" ht="14.25" customHeight="1" x14ac:dyDescent="0.25">
      <c r="A21" s="10" t="s">
        <v>115</v>
      </c>
      <c r="B21" s="28" t="s">
        <v>114</v>
      </c>
      <c r="C21" s="10" t="s">
        <v>112</v>
      </c>
      <c r="D21" s="16">
        <v>52500</v>
      </c>
      <c r="E21" s="11" t="s">
        <v>27</v>
      </c>
      <c r="F21" s="16">
        <v>95000</v>
      </c>
      <c r="G21" s="18">
        <v>6</v>
      </c>
      <c r="H21" s="17">
        <f t="shared" si="0"/>
        <v>42500</v>
      </c>
    </row>
    <row r="22" spans="1:8" ht="14.25" customHeight="1" x14ac:dyDescent="0.25">
      <c r="A22" s="10"/>
      <c r="B22" s="8"/>
      <c r="C22" s="10"/>
      <c r="D22" s="16"/>
      <c r="E22" s="11"/>
      <c r="F22" s="16"/>
      <c r="G22" s="18"/>
    </row>
    <row r="23" spans="1:8" ht="14.25" customHeight="1" x14ac:dyDescent="0.25">
      <c r="A23" s="10"/>
      <c r="B23" s="8"/>
      <c r="C23" s="10"/>
      <c r="D23" s="16"/>
      <c r="E23" s="11"/>
      <c r="F23" s="16"/>
      <c r="G23" s="18"/>
    </row>
    <row r="24" spans="1:8" ht="14.25" customHeight="1" x14ac:dyDescent="0.25">
      <c r="A24" s="8"/>
      <c r="B24" s="8"/>
      <c r="C24" s="8"/>
      <c r="D24" s="16"/>
      <c r="E24" s="9"/>
      <c r="F24" s="16"/>
      <c r="G24" s="18"/>
    </row>
    <row r="25" spans="1:8" ht="14.25" customHeight="1" x14ac:dyDescent="0.25"/>
    <row r="26" spans="1:8" ht="14.25" customHeight="1" x14ac:dyDescent="0.25"/>
    <row r="27" spans="1:8" ht="14.25" customHeight="1" x14ac:dyDescent="0.25"/>
    <row r="28" spans="1:8" ht="14.25" customHeight="1" x14ac:dyDescent="0.25"/>
    <row r="29" spans="1:8" ht="14.25" customHeight="1" x14ac:dyDescent="0.25"/>
    <row r="30" spans="1:8" ht="14.25" customHeight="1" x14ac:dyDescent="0.25"/>
    <row r="31" spans="1:8" ht="14.25" customHeight="1" x14ac:dyDescent="0.25"/>
    <row r="32" spans="1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phoneticPr fontId="4" type="noConversion"/>
  <conditionalFormatting sqref="A1:B1048576">
    <cfRule type="duplicateValues" dxfId="6" priority="1"/>
  </conditionalFormatting>
  <pageMargins left="0.7" right="0.7" top="0.75" bottom="0.75" header="0" footer="0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A3D9-991F-4496-8C35-3EB78978EEA2}">
  <dimension ref="A1:K983"/>
  <sheetViews>
    <sheetView workbookViewId="0">
      <pane ySplit="3" topLeftCell="A4" activePane="bottomLeft" state="frozen"/>
      <selection pane="bottomLeft" activeCell="C15" sqref="C15:G15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3.42578125" customWidth="1"/>
    <col min="4" max="4" width="17.140625" style="17" customWidth="1"/>
    <col min="5" max="5" width="14.42578125" customWidth="1"/>
    <col min="6" max="6" width="15.5703125" style="17" customWidth="1"/>
    <col min="7" max="7" width="9.140625" style="19" customWidth="1"/>
    <col min="8" max="8" width="13.7109375" customWidth="1"/>
    <col min="9" max="9" width="6" customWidth="1"/>
    <col min="10" max="10" width="6.28515625" customWidth="1"/>
    <col min="11" max="27" width="8.7109375" customWidth="1"/>
  </cols>
  <sheetData>
    <row r="1" spans="1:11" ht="14.25" customHeight="1" x14ac:dyDescent="0.25">
      <c r="B1" s="1"/>
      <c r="C1" s="13" t="s">
        <v>66</v>
      </c>
      <c r="D1" s="14"/>
      <c r="E1" s="2"/>
      <c r="F1" s="14"/>
    </row>
    <row r="2" spans="1:11" ht="14.25" customHeight="1" x14ac:dyDescent="0.25">
      <c r="B2" s="1"/>
      <c r="D2" s="14"/>
      <c r="E2" s="2"/>
      <c r="F2" s="14"/>
      <c r="K2" s="3"/>
    </row>
    <row r="3" spans="1:11" ht="19.5" customHeight="1" x14ac:dyDescent="0.25">
      <c r="A3" s="4" t="s">
        <v>0</v>
      </c>
      <c r="B3" s="20" t="s">
        <v>1</v>
      </c>
      <c r="C3" s="12" t="s">
        <v>2</v>
      </c>
      <c r="D3" s="15" t="s">
        <v>3</v>
      </c>
      <c r="E3" s="6" t="s">
        <v>83</v>
      </c>
      <c r="F3" s="15" t="s">
        <v>4</v>
      </c>
      <c r="G3" s="4" t="s">
        <v>5</v>
      </c>
      <c r="J3" s="23"/>
      <c r="K3" s="35" t="s">
        <v>127</v>
      </c>
    </row>
    <row r="4" spans="1:11" ht="14.25" customHeight="1" x14ac:dyDescent="0.25">
      <c r="A4" s="10" t="s">
        <v>67</v>
      </c>
      <c r="B4" s="8"/>
      <c r="C4" s="10" t="s">
        <v>11</v>
      </c>
      <c r="D4" s="16">
        <v>50500</v>
      </c>
      <c r="E4" s="11" t="s">
        <v>17</v>
      </c>
      <c r="F4" s="16">
        <v>95000</v>
      </c>
      <c r="G4" s="18"/>
      <c r="H4" s="17">
        <f>F4-D4</f>
        <v>44500</v>
      </c>
    </row>
    <row r="5" spans="1:11" ht="14.25" customHeight="1" x14ac:dyDescent="0.25">
      <c r="A5" s="10" t="s">
        <v>68</v>
      </c>
      <c r="B5" s="8"/>
      <c r="C5" s="10" t="s">
        <v>78</v>
      </c>
      <c r="D5" s="16">
        <v>113000</v>
      </c>
      <c r="E5" s="11" t="s">
        <v>32</v>
      </c>
      <c r="F5" s="16">
        <v>175000</v>
      </c>
      <c r="G5" s="18"/>
      <c r="H5" s="17">
        <f t="shared" ref="H5:H15" si="0">F5-D5</f>
        <v>62000</v>
      </c>
      <c r="J5" s="22"/>
      <c r="K5" t="s">
        <v>105</v>
      </c>
    </row>
    <row r="6" spans="1:11" ht="14.25" customHeight="1" x14ac:dyDescent="0.25">
      <c r="A6" s="10" t="s">
        <v>69</v>
      </c>
      <c r="B6" s="8"/>
      <c r="C6" s="10" t="s">
        <v>79</v>
      </c>
      <c r="D6" s="16">
        <v>45000</v>
      </c>
      <c r="E6" s="11" t="s">
        <v>44</v>
      </c>
      <c r="F6" s="16">
        <v>85000</v>
      </c>
      <c r="G6" s="18"/>
      <c r="H6" s="17">
        <f t="shared" si="0"/>
        <v>40000</v>
      </c>
    </row>
    <row r="7" spans="1:11" ht="14.25" customHeight="1" x14ac:dyDescent="0.25">
      <c r="A7" s="10" t="s">
        <v>70</v>
      </c>
      <c r="B7" s="8"/>
      <c r="C7" s="10" t="s">
        <v>80</v>
      </c>
      <c r="D7" s="16">
        <v>16000</v>
      </c>
      <c r="E7" s="11" t="s">
        <v>45</v>
      </c>
      <c r="F7" s="16">
        <v>38000</v>
      </c>
      <c r="G7" s="18"/>
      <c r="H7" s="17">
        <f t="shared" si="0"/>
        <v>22000</v>
      </c>
    </row>
    <row r="8" spans="1:11" ht="14.25" customHeight="1" x14ac:dyDescent="0.25">
      <c r="A8" s="10" t="s">
        <v>71</v>
      </c>
      <c r="B8" s="8"/>
      <c r="C8" s="10" t="s">
        <v>39</v>
      </c>
      <c r="D8" s="16">
        <v>35000</v>
      </c>
      <c r="E8" s="11" t="s">
        <v>47</v>
      </c>
      <c r="F8" s="16">
        <v>75000</v>
      </c>
      <c r="G8" s="18"/>
      <c r="H8" s="17">
        <f t="shared" si="0"/>
        <v>40000</v>
      </c>
    </row>
    <row r="9" spans="1:11" ht="14.25" customHeight="1" x14ac:dyDescent="0.25">
      <c r="A9" s="10" t="s">
        <v>72</v>
      </c>
      <c r="B9" s="8"/>
      <c r="C9" s="10" t="s">
        <v>41</v>
      </c>
      <c r="D9" s="16">
        <v>47500</v>
      </c>
      <c r="E9" s="11" t="s">
        <v>49</v>
      </c>
      <c r="F9" s="16">
        <v>85000</v>
      </c>
      <c r="G9" s="18"/>
      <c r="H9" s="17">
        <f t="shared" si="0"/>
        <v>37500</v>
      </c>
    </row>
    <row r="10" spans="1:11" ht="14.25" customHeight="1" x14ac:dyDescent="0.25">
      <c r="A10" s="10" t="s">
        <v>73</v>
      </c>
      <c r="B10" s="8"/>
      <c r="C10" s="10" t="s">
        <v>53</v>
      </c>
      <c r="D10" s="16">
        <v>40500</v>
      </c>
      <c r="E10" s="11" t="s">
        <v>60</v>
      </c>
      <c r="F10" s="16">
        <v>75000</v>
      </c>
      <c r="G10" s="18"/>
      <c r="H10" s="17">
        <f t="shared" si="0"/>
        <v>34500</v>
      </c>
    </row>
    <row r="11" spans="1:11" ht="14.25" customHeight="1" x14ac:dyDescent="0.25">
      <c r="A11" s="10" t="s">
        <v>74</v>
      </c>
      <c r="B11" s="8"/>
      <c r="C11" s="10" t="s">
        <v>54</v>
      </c>
      <c r="D11" s="16">
        <v>40500</v>
      </c>
      <c r="E11" s="11" t="s">
        <v>60</v>
      </c>
      <c r="F11" s="16">
        <v>85000</v>
      </c>
      <c r="G11" s="18"/>
      <c r="H11" s="17">
        <f t="shared" si="0"/>
        <v>44500</v>
      </c>
    </row>
    <row r="12" spans="1:11" ht="14.25" customHeight="1" x14ac:dyDescent="0.25">
      <c r="A12" s="10" t="s">
        <v>75</v>
      </c>
      <c r="B12" s="8"/>
      <c r="C12" s="10" t="s">
        <v>56</v>
      </c>
      <c r="D12" s="16">
        <v>23750</v>
      </c>
      <c r="E12" s="11" t="s">
        <v>62</v>
      </c>
      <c r="F12" s="16">
        <v>55000</v>
      </c>
      <c r="G12" s="18"/>
      <c r="H12" s="17">
        <f t="shared" si="0"/>
        <v>31250</v>
      </c>
    </row>
    <row r="13" spans="1:11" ht="14.25" customHeight="1" x14ac:dyDescent="0.25">
      <c r="A13" s="10" t="s">
        <v>76</v>
      </c>
      <c r="B13" s="8"/>
      <c r="C13" s="10" t="s">
        <v>82</v>
      </c>
      <c r="D13" s="16">
        <v>41000</v>
      </c>
      <c r="E13" s="11" t="s">
        <v>64</v>
      </c>
      <c r="F13" s="16">
        <v>125000</v>
      </c>
      <c r="G13" s="18"/>
      <c r="H13" s="17">
        <f t="shared" si="0"/>
        <v>84000</v>
      </c>
    </row>
    <row r="14" spans="1:11" ht="14.25" customHeight="1" x14ac:dyDescent="0.25">
      <c r="A14" s="10" t="s">
        <v>77</v>
      </c>
      <c r="B14" s="21" t="s">
        <v>116</v>
      </c>
      <c r="C14" s="10" t="s">
        <v>51</v>
      </c>
      <c r="D14" s="16">
        <v>39000</v>
      </c>
      <c r="E14" s="11" t="s">
        <v>58</v>
      </c>
      <c r="F14" s="16">
        <v>85000</v>
      </c>
      <c r="G14" s="18">
        <v>9</v>
      </c>
      <c r="H14" s="17">
        <f t="shared" si="0"/>
        <v>46000</v>
      </c>
    </row>
    <row r="15" spans="1:11" ht="14.25" customHeight="1" x14ac:dyDescent="0.25">
      <c r="A15" s="10" t="s">
        <v>144</v>
      </c>
      <c r="B15" s="21" t="s">
        <v>143</v>
      </c>
      <c r="C15" s="24" t="s">
        <v>142</v>
      </c>
      <c r="D15" s="25">
        <v>40000</v>
      </c>
      <c r="E15" s="26" t="s">
        <v>18</v>
      </c>
      <c r="F15" s="25">
        <v>80000</v>
      </c>
      <c r="G15" s="27">
        <v>6</v>
      </c>
      <c r="H15" s="17">
        <f t="shared" si="0"/>
        <v>40000</v>
      </c>
    </row>
    <row r="16" spans="1:11" ht="14.25" customHeight="1" x14ac:dyDescent="0.25">
      <c r="A16" s="10"/>
      <c r="B16" s="8"/>
      <c r="C16" s="10"/>
      <c r="D16" s="16"/>
      <c r="E16" s="11"/>
      <c r="F16" s="16"/>
      <c r="G16" s="18"/>
    </row>
    <row r="17" spans="1:7" ht="14.25" customHeight="1" x14ac:dyDescent="0.25">
      <c r="A17" s="10"/>
      <c r="B17" s="8"/>
      <c r="C17" s="10"/>
      <c r="D17" s="16"/>
      <c r="E17" s="11"/>
      <c r="F17" s="16"/>
      <c r="G17" s="18"/>
    </row>
    <row r="18" spans="1:7" ht="14.25" customHeight="1" x14ac:dyDescent="0.25">
      <c r="A18" s="10"/>
      <c r="B18" s="8"/>
      <c r="C18" s="10"/>
      <c r="D18" s="16"/>
      <c r="E18" s="11"/>
      <c r="F18" s="16"/>
      <c r="G18" s="18"/>
    </row>
    <row r="19" spans="1:7" ht="14.25" customHeight="1" x14ac:dyDescent="0.25">
      <c r="A19" s="10"/>
      <c r="B19" s="8"/>
      <c r="C19" s="10"/>
      <c r="D19" s="16"/>
      <c r="E19" s="11"/>
      <c r="F19" s="16"/>
      <c r="G19" s="18"/>
    </row>
    <row r="20" spans="1:7" ht="14.25" customHeight="1" x14ac:dyDescent="0.25">
      <c r="A20" s="10"/>
      <c r="B20" s="8"/>
      <c r="C20" s="10"/>
      <c r="D20" s="16"/>
      <c r="E20" s="11"/>
      <c r="F20" s="16"/>
      <c r="G20" s="18"/>
    </row>
    <row r="21" spans="1:7" ht="14.25" customHeight="1" x14ac:dyDescent="0.25">
      <c r="A21" s="10"/>
      <c r="B21" s="8"/>
      <c r="C21" s="10"/>
      <c r="D21" s="16"/>
      <c r="E21" s="11"/>
      <c r="F21" s="16"/>
      <c r="G21" s="18"/>
    </row>
    <row r="22" spans="1:7" ht="14.25" customHeight="1" x14ac:dyDescent="0.25">
      <c r="A22" s="8"/>
      <c r="B22" s="8"/>
      <c r="C22" s="8"/>
      <c r="D22" s="16"/>
      <c r="E22" s="9"/>
      <c r="F22" s="16"/>
      <c r="G22" s="18"/>
    </row>
    <row r="23" spans="1:7" ht="14.25" customHeight="1" x14ac:dyDescent="0.25"/>
    <row r="24" spans="1:7" ht="14.25" customHeight="1" x14ac:dyDescent="0.25"/>
    <row r="25" spans="1:7" ht="14.25" customHeight="1" x14ac:dyDescent="0.25"/>
    <row r="26" spans="1:7" ht="14.25" customHeight="1" x14ac:dyDescent="0.25"/>
    <row r="27" spans="1:7" ht="14.25" customHeight="1" x14ac:dyDescent="0.25"/>
    <row r="28" spans="1:7" ht="14.25" customHeight="1" x14ac:dyDescent="0.25"/>
    <row r="29" spans="1:7" ht="14.25" customHeight="1" x14ac:dyDescent="0.25"/>
    <row r="30" spans="1:7" ht="14.25" customHeight="1" x14ac:dyDescent="0.25"/>
    <row r="31" spans="1:7" ht="14.25" customHeight="1" x14ac:dyDescent="0.25"/>
    <row r="32" spans="1:7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</sheetData>
  <phoneticPr fontId="4" type="noConversion"/>
  <conditionalFormatting sqref="A1:B1048576">
    <cfRule type="duplicateValues" dxfId="5" priority="1"/>
  </conditionalFormatting>
  <pageMargins left="0.7" right="0.7" top="0.75" bottom="0.75" header="0" footer="0"/>
  <pageSetup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3250-733C-48A0-81FE-1D2BC2C1D0AE}">
  <dimension ref="A1:K983"/>
  <sheetViews>
    <sheetView tabSelected="1" workbookViewId="0">
      <pane ySplit="3" topLeftCell="A4" activePane="bottomLeft" state="frozen"/>
      <selection pane="bottomLeft" activeCell="E10" sqref="E10:E13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3.42578125" customWidth="1"/>
    <col min="4" max="4" width="17.28515625" style="17" customWidth="1"/>
    <col min="5" max="5" width="14.140625" customWidth="1"/>
    <col min="6" max="6" width="15.140625" style="17" customWidth="1"/>
    <col min="7" max="7" width="9.140625" style="19" customWidth="1"/>
    <col min="8" max="8" width="14.140625" customWidth="1"/>
    <col min="9" max="26" width="8.7109375" customWidth="1"/>
  </cols>
  <sheetData>
    <row r="1" spans="1:11" ht="14.25" customHeight="1" x14ac:dyDescent="0.25">
      <c r="B1" s="1"/>
      <c r="C1" s="13" t="s">
        <v>7</v>
      </c>
      <c r="D1" s="14"/>
      <c r="E1" s="2"/>
      <c r="F1" s="14"/>
    </row>
    <row r="2" spans="1:11" ht="14.25" customHeight="1" x14ac:dyDescent="0.25">
      <c r="B2" s="1"/>
      <c r="D2" s="14"/>
      <c r="E2" s="2"/>
      <c r="F2" s="14"/>
      <c r="J2" s="3"/>
    </row>
    <row r="3" spans="1:11" ht="19.5" customHeight="1" x14ac:dyDescent="0.25">
      <c r="A3" s="4" t="s">
        <v>0</v>
      </c>
      <c r="B3" s="20" t="s">
        <v>1</v>
      </c>
      <c r="C3" s="12" t="s">
        <v>2</v>
      </c>
      <c r="D3" s="15" t="s">
        <v>3</v>
      </c>
      <c r="E3" s="6" t="s">
        <v>83</v>
      </c>
      <c r="F3" s="15" t="s">
        <v>4</v>
      </c>
      <c r="G3" s="4" t="s">
        <v>5</v>
      </c>
      <c r="J3" s="33"/>
      <c r="K3" s="34" t="s">
        <v>127</v>
      </c>
    </row>
    <row r="4" spans="1:11" ht="14.25" customHeight="1" x14ac:dyDescent="0.25">
      <c r="A4" s="10" t="s">
        <v>134</v>
      </c>
      <c r="B4" s="21" t="s">
        <v>133</v>
      </c>
      <c r="C4" s="29" t="s">
        <v>131</v>
      </c>
      <c r="D4" s="30">
        <v>53000</v>
      </c>
      <c r="E4" s="31" t="s">
        <v>132</v>
      </c>
      <c r="F4" s="30">
        <v>90000</v>
      </c>
      <c r="G4" s="32">
        <v>3</v>
      </c>
      <c r="H4" s="17">
        <f>F4-D4</f>
        <v>37000</v>
      </c>
      <c r="J4" s="22"/>
      <c r="K4" t="s">
        <v>105</v>
      </c>
    </row>
    <row r="5" spans="1:11" ht="14.25" customHeight="1" x14ac:dyDescent="0.25">
      <c r="A5" s="10" t="s">
        <v>135</v>
      </c>
      <c r="B5" s="8"/>
      <c r="C5" s="10" t="s">
        <v>10</v>
      </c>
      <c r="D5" s="16">
        <v>61500</v>
      </c>
      <c r="E5" s="11" t="s">
        <v>16</v>
      </c>
      <c r="F5" s="16">
        <v>120000</v>
      </c>
      <c r="G5" s="18"/>
      <c r="H5" s="17">
        <f t="shared" ref="H5:H13" si="0">F5-D5</f>
        <v>58500</v>
      </c>
    </row>
    <row r="6" spans="1:11" ht="14.25" customHeight="1" x14ac:dyDescent="0.25">
      <c r="A6" s="10" t="s">
        <v>136</v>
      </c>
      <c r="B6" s="8"/>
      <c r="C6" s="10" t="s">
        <v>14</v>
      </c>
      <c r="D6" s="16">
        <v>53100</v>
      </c>
      <c r="E6" s="11" t="s">
        <v>19</v>
      </c>
      <c r="F6" s="16">
        <v>95000</v>
      </c>
      <c r="G6" s="18"/>
      <c r="H6" s="17">
        <f t="shared" si="0"/>
        <v>41900</v>
      </c>
    </row>
    <row r="7" spans="1:11" ht="14.25" customHeight="1" x14ac:dyDescent="0.25">
      <c r="A7" s="10" t="s">
        <v>137</v>
      </c>
      <c r="B7" s="8"/>
      <c r="C7" s="10" t="s">
        <v>22</v>
      </c>
      <c r="D7" s="16">
        <v>56500</v>
      </c>
      <c r="E7" s="11" t="s">
        <v>28</v>
      </c>
      <c r="F7" s="16">
        <v>100000</v>
      </c>
      <c r="G7" s="18"/>
      <c r="H7" s="17">
        <f t="shared" si="0"/>
        <v>43500</v>
      </c>
    </row>
    <row r="8" spans="1:11" ht="14.25" customHeight="1" x14ac:dyDescent="0.25">
      <c r="A8" s="10" t="s">
        <v>138</v>
      </c>
      <c r="B8" s="8"/>
      <c r="C8" s="10" t="s">
        <v>50</v>
      </c>
      <c r="D8" s="16">
        <v>12000</v>
      </c>
      <c r="E8" s="11" t="s">
        <v>57</v>
      </c>
      <c r="F8" s="16">
        <v>38000</v>
      </c>
      <c r="G8" s="18"/>
      <c r="H8" s="17">
        <f t="shared" si="0"/>
        <v>26000</v>
      </c>
    </row>
    <row r="9" spans="1:11" ht="14.25" customHeight="1" x14ac:dyDescent="0.25">
      <c r="A9" s="10" t="s">
        <v>139</v>
      </c>
      <c r="B9" s="8"/>
      <c r="C9" s="10" t="s">
        <v>81</v>
      </c>
      <c r="D9" s="16">
        <v>22500</v>
      </c>
      <c r="E9" s="11" t="s">
        <v>63</v>
      </c>
      <c r="F9" s="16">
        <v>65000</v>
      </c>
      <c r="G9" s="18"/>
      <c r="H9" s="17">
        <f t="shared" si="0"/>
        <v>42500</v>
      </c>
    </row>
    <row r="10" spans="1:11" ht="14.25" customHeight="1" x14ac:dyDescent="0.25">
      <c r="A10" s="10" t="s">
        <v>140</v>
      </c>
      <c r="B10" s="41" t="s">
        <v>174</v>
      </c>
      <c r="C10" s="10" t="s">
        <v>165</v>
      </c>
      <c r="D10" s="16">
        <v>52000</v>
      </c>
      <c r="E10" s="11" t="s">
        <v>169</v>
      </c>
      <c r="F10" s="16">
        <v>125000</v>
      </c>
      <c r="G10" s="18">
        <v>5</v>
      </c>
      <c r="H10" s="17">
        <f t="shared" si="0"/>
        <v>73000</v>
      </c>
    </row>
    <row r="11" spans="1:11" ht="14.25" customHeight="1" x14ac:dyDescent="0.25">
      <c r="A11" s="10" t="s">
        <v>141</v>
      </c>
      <c r="B11" s="41" t="s">
        <v>175</v>
      </c>
      <c r="C11" s="10" t="s">
        <v>166</v>
      </c>
      <c r="D11" s="16">
        <v>52000</v>
      </c>
      <c r="E11" s="11" t="s">
        <v>169</v>
      </c>
      <c r="F11" s="16">
        <v>125000</v>
      </c>
      <c r="G11" s="18">
        <v>5</v>
      </c>
      <c r="H11" s="17">
        <f t="shared" si="0"/>
        <v>73000</v>
      </c>
    </row>
    <row r="12" spans="1:11" ht="14.25" customHeight="1" x14ac:dyDescent="0.25">
      <c r="A12" s="10" t="s">
        <v>172</v>
      </c>
      <c r="B12" s="41" t="s">
        <v>176</v>
      </c>
      <c r="C12" s="10" t="s">
        <v>167</v>
      </c>
      <c r="D12" s="16">
        <v>54500</v>
      </c>
      <c r="E12" s="11" t="s">
        <v>170</v>
      </c>
      <c r="F12" s="16">
        <v>135000</v>
      </c>
      <c r="G12" s="18">
        <v>5</v>
      </c>
      <c r="H12" s="17">
        <f t="shared" si="0"/>
        <v>80500</v>
      </c>
    </row>
    <row r="13" spans="1:11" ht="14.25" customHeight="1" x14ac:dyDescent="0.25">
      <c r="A13" s="10" t="s">
        <v>173</v>
      </c>
      <c r="B13" s="41" t="s">
        <v>177</v>
      </c>
      <c r="C13" s="10" t="s">
        <v>168</v>
      </c>
      <c r="D13" s="16">
        <v>50000</v>
      </c>
      <c r="E13" s="11" t="s">
        <v>171</v>
      </c>
      <c r="F13" s="16">
        <v>100000</v>
      </c>
      <c r="G13" s="18">
        <v>5</v>
      </c>
      <c r="H13" s="17">
        <f t="shared" si="0"/>
        <v>50000</v>
      </c>
    </row>
    <row r="14" spans="1:11" ht="14.25" customHeight="1" x14ac:dyDescent="0.25">
      <c r="A14" s="10"/>
      <c r="B14" s="8"/>
      <c r="C14" s="10"/>
      <c r="D14" s="16"/>
      <c r="E14" s="11"/>
      <c r="F14" s="16"/>
      <c r="G14" s="18"/>
      <c r="H14" s="17"/>
    </row>
    <row r="15" spans="1:11" ht="14.25" customHeight="1" x14ac:dyDescent="0.25">
      <c r="A15" s="10"/>
      <c r="B15" s="8"/>
      <c r="C15" s="10"/>
      <c r="D15" s="16"/>
      <c r="E15" s="11"/>
      <c r="F15" s="16"/>
      <c r="G15" s="18"/>
      <c r="H15" s="17"/>
    </row>
    <row r="16" spans="1:11" ht="14.25" customHeight="1" x14ac:dyDescent="0.25">
      <c r="A16" s="10"/>
      <c r="B16" s="8"/>
      <c r="C16" s="10"/>
      <c r="D16" s="16"/>
      <c r="E16" s="11"/>
      <c r="F16" s="16"/>
      <c r="G16" s="18"/>
      <c r="H16" s="17"/>
    </row>
    <row r="17" spans="1:8" ht="14.25" customHeight="1" x14ac:dyDescent="0.25">
      <c r="A17" s="10"/>
      <c r="B17" s="8"/>
      <c r="C17" s="10"/>
      <c r="D17" s="16"/>
      <c r="E17" s="11"/>
      <c r="F17" s="16"/>
      <c r="G17" s="18"/>
      <c r="H17" s="17"/>
    </row>
    <row r="18" spans="1:8" ht="14.25" customHeight="1" x14ac:dyDescent="0.25">
      <c r="A18" s="10"/>
      <c r="B18" s="8"/>
      <c r="C18" s="10"/>
      <c r="D18" s="16"/>
      <c r="E18" s="11"/>
      <c r="F18" s="16"/>
      <c r="G18" s="18"/>
      <c r="H18" s="17"/>
    </row>
    <row r="19" spans="1:8" ht="14.25" customHeight="1" x14ac:dyDescent="0.25">
      <c r="A19" s="10"/>
      <c r="B19" s="8"/>
      <c r="C19" s="10"/>
      <c r="D19" s="16"/>
      <c r="E19" s="11"/>
      <c r="F19" s="16"/>
      <c r="G19" s="18"/>
      <c r="H19" s="17"/>
    </row>
    <row r="20" spans="1:8" ht="14.25" customHeight="1" x14ac:dyDescent="0.25">
      <c r="A20" s="10"/>
      <c r="B20" s="8"/>
      <c r="C20" s="10"/>
      <c r="D20" s="16"/>
      <c r="E20" s="11"/>
      <c r="F20" s="16"/>
      <c r="G20" s="18"/>
      <c r="H20" s="17"/>
    </row>
    <row r="21" spans="1:8" ht="14.25" customHeight="1" x14ac:dyDescent="0.25">
      <c r="A21" s="10"/>
      <c r="B21" s="8"/>
      <c r="C21" s="10"/>
      <c r="D21" s="16"/>
      <c r="E21" s="11"/>
      <c r="F21" s="16"/>
      <c r="G21" s="18"/>
    </row>
    <row r="22" spans="1:8" ht="14.25" customHeight="1" x14ac:dyDescent="0.25">
      <c r="A22" s="8"/>
      <c r="B22" s="8"/>
      <c r="C22" s="8"/>
      <c r="D22" s="16"/>
      <c r="E22" s="9"/>
      <c r="F22" s="16"/>
      <c r="G22" s="18"/>
    </row>
    <row r="23" spans="1:8" ht="14.25" customHeight="1" x14ac:dyDescent="0.25"/>
    <row r="24" spans="1:8" ht="14.25" customHeight="1" x14ac:dyDescent="0.25"/>
    <row r="25" spans="1:8" ht="14.25" customHeight="1" x14ac:dyDescent="0.25"/>
    <row r="26" spans="1:8" ht="14.25" customHeight="1" x14ac:dyDescent="0.25"/>
    <row r="27" spans="1:8" ht="14.25" customHeight="1" x14ac:dyDescent="0.25"/>
    <row r="28" spans="1:8" ht="14.25" customHeight="1" x14ac:dyDescent="0.25"/>
    <row r="29" spans="1:8" ht="14.25" customHeight="1" x14ac:dyDescent="0.25"/>
    <row r="30" spans="1:8" ht="14.25" customHeight="1" x14ac:dyDescent="0.25"/>
    <row r="31" spans="1:8" ht="14.25" customHeight="1" x14ac:dyDescent="0.25"/>
    <row r="32" spans="1:8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</sheetData>
  <phoneticPr fontId="4" type="noConversion"/>
  <conditionalFormatting sqref="A1:B1048576">
    <cfRule type="duplicateValues" dxfId="4" priority="1"/>
  </conditionalFormatting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74FC-23F8-46E5-9AA6-CD40031AA698}">
  <dimension ref="A1:K973"/>
  <sheetViews>
    <sheetView workbookViewId="0">
      <pane ySplit="3" topLeftCell="A4" activePane="bottomLeft" state="frozen"/>
      <selection pane="bottomLeft" activeCell="D23" sqref="D23"/>
    </sheetView>
  </sheetViews>
  <sheetFormatPr defaultColWidth="14.42578125" defaultRowHeight="15" customHeight="1" x14ac:dyDescent="0.25"/>
  <cols>
    <col min="1" max="1" width="10.140625" bestFit="1" customWidth="1"/>
    <col min="2" max="2" width="19" customWidth="1"/>
    <col min="3" max="3" width="33.42578125" customWidth="1"/>
    <col min="4" max="4" width="18.85546875" style="17" customWidth="1"/>
    <col min="5" max="5" width="16.85546875" customWidth="1"/>
    <col min="6" max="6" width="17.85546875" style="17" customWidth="1"/>
    <col min="7" max="7" width="10.28515625" style="19" customWidth="1"/>
    <col min="8" max="8" width="13.7109375" customWidth="1"/>
    <col min="9" max="9" width="6.7109375" customWidth="1"/>
    <col min="10" max="10" width="7.85546875" customWidth="1"/>
    <col min="11" max="26" width="8.7109375" customWidth="1"/>
  </cols>
  <sheetData>
    <row r="1" spans="1:11" ht="14.25" customHeight="1" x14ac:dyDescent="0.25">
      <c r="B1" s="1"/>
      <c r="C1" s="13" t="s">
        <v>65</v>
      </c>
      <c r="D1" s="14"/>
      <c r="E1" s="2"/>
      <c r="F1" s="14"/>
      <c r="J1" s="40"/>
      <c r="K1" t="s">
        <v>127</v>
      </c>
    </row>
    <row r="2" spans="1:11" ht="14.25" customHeight="1" x14ac:dyDescent="0.25">
      <c r="B2" s="1"/>
      <c r="D2" s="14"/>
      <c r="E2" s="2"/>
      <c r="F2" s="14"/>
      <c r="J2" s="3"/>
    </row>
    <row r="3" spans="1:11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83</v>
      </c>
      <c r="F3" s="15" t="s">
        <v>4</v>
      </c>
      <c r="G3" s="4" t="s">
        <v>5</v>
      </c>
      <c r="J3" s="7"/>
    </row>
    <row r="4" spans="1:11" ht="14.25" customHeight="1" x14ac:dyDescent="0.25">
      <c r="A4" s="10" t="s">
        <v>121</v>
      </c>
      <c r="B4" s="8">
        <v>254154</v>
      </c>
      <c r="C4" s="10" t="s">
        <v>23</v>
      </c>
      <c r="D4" s="16">
        <v>86000</v>
      </c>
      <c r="E4" s="11" t="s">
        <v>30</v>
      </c>
      <c r="F4" s="16">
        <v>175000</v>
      </c>
      <c r="G4" s="18"/>
      <c r="H4" s="17">
        <f>F4-D4</f>
        <v>89000</v>
      </c>
    </row>
    <row r="5" spans="1:11" ht="14.25" customHeight="1" x14ac:dyDescent="0.25">
      <c r="A5" s="10" t="s">
        <v>122</v>
      </c>
      <c r="B5" s="8">
        <v>254155</v>
      </c>
      <c r="C5" s="10" t="s">
        <v>24</v>
      </c>
      <c r="D5" s="16">
        <v>50000</v>
      </c>
      <c r="E5" s="11" t="s">
        <v>34</v>
      </c>
      <c r="F5" s="16">
        <v>135000</v>
      </c>
      <c r="G5" s="18"/>
      <c r="H5" s="17">
        <f t="shared" ref="H5:H8" si="0">F5-D5</f>
        <v>85000</v>
      </c>
    </row>
    <row r="6" spans="1:11" ht="14.25" customHeight="1" x14ac:dyDescent="0.25">
      <c r="A6" s="10" t="s">
        <v>123</v>
      </c>
      <c r="B6" s="8">
        <v>254156</v>
      </c>
      <c r="C6" s="36" t="s">
        <v>25</v>
      </c>
      <c r="D6" s="37">
        <v>147000</v>
      </c>
      <c r="E6" s="38" t="s">
        <v>31</v>
      </c>
      <c r="F6" s="37">
        <v>275000</v>
      </c>
      <c r="G6" s="39">
        <v>6</v>
      </c>
      <c r="H6" s="17">
        <f t="shared" si="0"/>
        <v>128000</v>
      </c>
    </row>
    <row r="7" spans="1:11" ht="14.25" customHeight="1" x14ac:dyDescent="0.25">
      <c r="A7" s="10" t="s">
        <v>126</v>
      </c>
      <c r="B7" s="8">
        <v>254157</v>
      </c>
      <c r="C7" s="36" t="s">
        <v>124</v>
      </c>
      <c r="D7" s="37">
        <v>32500</v>
      </c>
      <c r="E7" s="38" t="s">
        <v>125</v>
      </c>
      <c r="F7" s="37">
        <v>65000</v>
      </c>
      <c r="G7" s="39">
        <v>6</v>
      </c>
      <c r="H7" s="17">
        <f t="shared" si="0"/>
        <v>32500</v>
      </c>
    </row>
    <row r="8" spans="1:11" ht="14.25" customHeight="1" x14ac:dyDescent="0.25">
      <c r="A8" s="10" t="s">
        <v>158</v>
      </c>
      <c r="B8" s="8" t="s">
        <v>159</v>
      </c>
      <c r="C8" s="10" t="s">
        <v>156</v>
      </c>
      <c r="D8" s="16">
        <v>93000</v>
      </c>
      <c r="E8" s="11" t="s">
        <v>157</v>
      </c>
      <c r="F8" s="16">
        <v>180000</v>
      </c>
      <c r="G8" s="18">
        <v>12</v>
      </c>
      <c r="H8" s="17">
        <f t="shared" si="0"/>
        <v>87000</v>
      </c>
    </row>
    <row r="9" spans="1:11" ht="14.25" customHeight="1" x14ac:dyDescent="0.25">
      <c r="A9" s="10"/>
      <c r="B9" s="8"/>
      <c r="C9" s="10"/>
      <c r="D9" s="16"/>
      <c r="E9" s="11"/>
      <c r="F9" s="16"/>
      <c r="G9" s="18"/>
      <c r="H9" s="17"/>
    </row>
    <row r="10" spans="1:11" ht="14.25" customHeight="1" x14ac:dyDescent="0.25">
      <c r="A10" s="10"/>
      <c r="B10" s="8"/>
      <c r="C10" s="10"/>
      <c r="D10" s="16"/>
      <c r="E10" s="11"/>
      <c r="F10" s="16"/>
      <c r="G10" s="18"/>
    </row>
    <row r="11" spans="1:11" ht="14.25" customHeight="1" x14ac:dyDescent="0.25">
      <c r="A11" s="10"/>
      <c r="B11" s="8"/>
      <c r="C11" s="10"/>
      <c r="D11" s="16"/>
      <c r="E11" s="11"/>
      <c r="F11" s="16"/>
      <c r="G11" s="18"/>
    </row>
    <row r="12" spans="1:11" ht="14.25" customHeight="1" x14ac:dyDescent="0.25">
      <c r="A12" s="8"/>
      <c r="B12" s="8"/>
      <c r="C12" s="8"/>
      <c r="D12" s="16"/>
      <c r="E12" s="9"/>
      <c r="F12" s="16"/>
      <c r="G12" s="18"/>
    </row>
    <row r="13" spans="1:11" ht="14.25" customHeight="1" x14ac:dyDescent="0.25"/>
    <row r="14" spans="1:11" ht="14.25" customHeight="1" x14ac:dyDescent="0.25"/>
    <row r="15" spans="1:11" ht="14.25" customHeight="1" x14ac:dyDescent="0.25"/>
    <row r="16" spans="1:1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phoneticPr fontId="4" type="noConversion"/>
  <conditionalFormatting sqref="A1:B1048576">
    <cfRule type="duplicateValues" dxfId="3" priority="1"/>
  </conditionalFormatting>
  <pageMargins left="0.7" right="0.7" top="0.75" bottom="0.75" header="0" footer="0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AB0D-E460-46DD-98FD-FA8CFA4C8B1D}">
  <dimension ref="A1:J972"/>
  <sheetViews>
    <sheetView workbookViewId="0">
      <pane ySplit="3" topLeftCell="A4" activePane="bottomLeft" state="frozen"/>
      <selection pane="bottomLeft" activeCell="C10" sqref="C10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3.42578125" customWidth="1"/>
    <col min="4" max="4" width="17.28515625" style="17" customWidth="1"/>
    <col min="5" max="5" width="14.140625" customWidth="1"/>
    <col min="6" max="6" width="16.7109375" style="17" customWidth="1"/>
    <col min="7" max="7" width="11.7109375" style="19" customWidth="1"/>
    <col min="8" max="8" width="14.140625" customWidth="1"/>
    <col min="9" max="26" width="8.7109375" customWidth="1"/>
  </cols>
  <sheetData>
    <row r="1" spans="1:10" ht="14.25" customHeight="1" x14ac:dyDescent="0.25">
      <c r="B1" s="1"/>
      <c r="C1" s="13" t="s">
        <v>120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83</v>
      </c>
      <c r="F3" s="15" t="s">
        <v>4</v>
      </c>
      <c r="G3" s="4" t="s">
        <v>5</v>
      </c>
      <c r="J3" s="7"/>
    </row>
    <row r="4" spans="1:10" ht="14.25" customHeight="1" x14ac:dyDescent="0.25">
      <c r="A4" s="10" t="s">
        <v>117</v>
      </c>
      <c r="B4" s="8">
        <v>988743</v>
      </c>
      <c r="C4" s="10" t="s">
        <v>22</v>
      </c>
      <c r="D4" s="16">
        <v>56500</v>
      </c>
      <c r="E4" s="11" t="s">
        <v>28</v>
      </c>
      <c r="F4" s="16">
        <v>100000</v>
      </c>
      <c r="G4" s="18"/>
      <c r="H4" s="17">
        <f>F4-D4</f>
        <v>43500</v>
      </c>
    </row>
    <row r="5" spans="1:10" ht="14.25" customHeight="1" x14ac:dyDescent="0.25">
      <c r="A5" s="10" t="s">
        <v>118</v>
      </c>
      <c r="B5" s="8">
        <v>988744</v>
      </c>
      <c r="C5" s="10" t="s">
        <v>50</v>
      </c>
      <c r="D5" s="16">
        <v>12000</v>
      </c>
      <c r="E5" s="11" t="s">
        <v>57</v>
      </c>
      <c r="F5" s="16">
        <v>38000</v>
      </c>
      <c r="G5" s="18"/>
      <c r="H5" s="17">
        <f t="shared" ref="H5:H7" si="0">F5-D5</f>
        <v>26000</v>
      </c>
    </row>
    <row r="6" spans="1:10" ht="14.25" customHeight="1" x14ac:dyDescent="0.25">
      <c r="A6" s="10" t="s">
        <v>119</v>
      </c>
      <c r="B6" s="8">
        <v>988745</v>
      </c>
      <c r="C6" s="10" t="s">
        <v>81</v>
      </c>
      <c r="D6" s="16">
        <v>22500</v>
      </c>
      <c r="E6" s="11" t="s">
        <v>63</v>
      </c>
      <c r="F6" s="16">
        <v>65000</v>
      </c>
      <c r="G6" s="18"/>
      <c r="H6" s="17">
        <f t="shared" si="0"/>
        <v>42500</v>
      </c>
    </row>
    <row r="7" spans="1:10" ht="14.25" customHeight="1" x14ac:dyDescent="0.25">
      <c r="A7" s="10" t="s">
        <v>151</v>
      </c>
      <c r="B7" s="8" t="s">
        <v>152</v>
      </c>
      <c r="C7" s="10" t="s">
        <v>149</v>
      </c>
      <c r="D7" s="16">
        <v>56500</v>
      </c>
      <c r="E7" s="11" t="s">
        <v>150</v>
      </c>
      <c r="F7" s="16">
        <v>125000</v>
      </c>
      <c r="G7" s="18">
        <v>12</v>
      </c>
      <c r="H7" s="17">
        <f t="shared" si="0"/>
        <v>68500</v>
      </c>
    </row>
    <row r="8" spans="1:10" ht="14.25" customHeight="1" x14ac:dyDescent="0.25">
      <c r="A8" s="10"/>
      <c r="B8" s="8"/>
      <c r="C8" s="10"/>
      <c r="D8" s="16"/>
      <c r="E8" s="11"/>
      <c r="F8" s="16"/>
      <c r="G8" s="18"/>
    </row>
    <row r="9" spans="1:10" ht="14.25" customHeight="1" x14ac:dyDescent="0.25">
      <c r="A9" s="10"/>
      <c r="B9" s="8"/>
      <c r="C9" s="10"/>
      <c r="D9" s="16"/>
      <c r="E9" s="11"/>
      <c r="F9" s="16"/>
      <c r="G9" s="18"/>
    </row>
    <row r="10" spans="1:10" ht="14.25" customHeight="1" x14ac:dyDescent="0.25">
      <c r="A10" s="10"/>
      <c r="B10" s="8"/>
      <c r="C10" s="10"/>
      <c r="D10" s="16"/>
      <c r="E10" s="11"/>
      <c r="F10" s="16"/>
      <c r="G10" s="18"/>
    </row>
    <row r="11" spans="1:10" ht="14.25" customHeight="1" x14ac:dyDescent="0.25">
      <c r="A11" s="8"/>
      <c r="B11" s="8"/>
      <c r="C11" s="8"/>
      <c r="D11" s="16"/>
      <c r="E11" s="9"/>
      <c r="F11" s="16"/>
      <c r="G11" s="18"/>
    </row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</sheetData>
  <phoneticPr fontId="4" type="noConversion"/>
  <conditionalFormatting sqref="A1:B1048576">
    <cfRule type="duplicateValues" dxfId="2" priority="1"/>
  </conditionalFormatting>
  <pageMargins left="0.7" right="0.7" top="0.75" bottom="0.75" header="0" footer="0"/>
  <pageSetup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92CE-C84C-41CC-9FB7-DA6C77ACE74B}">
  <dimension ref="A1:J969"/>
  <sheetViews>
    <sheetView workbookViewId="0">
      <pane ySplit="3" topLeftCell="A4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9.42578125" customWidth="1"/>
    <col min="2" max="2" width="16.5703125" customWidth="1"/>
    <col min="3" max="3" width="33.42578125" customWidth="1"/>
    <col min="4" max="4" width="17.28515625" style="17" customWidth="1"/>
    <col min="5" max="5" width="14.140625" customWidth="1"/>
    <col min="6" max="6" width="15.140625" style="17" customWidth="1"/>
    <col min="7" max="7" width="10" style="19" customWidth="1"/>
    <col min="8" max="8" width="14.28515625" customWidth="1"/>
    <col min="9" max="26" width="8.7109375" customWidth="1"/>
  </cols>
  <sheetData>
    <row r="1" spans="1:10" ht="14.25" customHeight="1" x14ac:dyDescent="0.25">
      <c r="B1" s="1"/>
      <c r="C1" s="13" t="s">
        <v>145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83</v>
      </c>
      <c r="F3" s="15" t="s">
        <v>4</v>
      </c>
      <c r="G3" s="4" t="s">
        <v>5</v>
      </c>
      <c r="J3" s="7"/>
    </row>
    <row r="4" spans="1:10" ht="14.25" customHeight="1" x14ac:dyDescent="0.25">
      <c r="A4" s="10" t="s">
        <v>146</v>
      </c>
      <c r="B4" s="8">
        <v>98744</v>
      </c>
      <c r="C4" s="10" t="s">
        <v>147</v>
      </c>
      <c r="D4" s="16">
        <v>39500</v>
      </c>
      <c r="E4" s="11" t="s">
        <v>148</v>
      </c>
      <c r="F4" s="16">
        <v>85000</v>
      </c>
      <c r="G4" s="18">
        <v>6</v>
      </c>
      <c r="H4" s="17">
        <f>F4-D4</f>
        <v>45500</v>
      </c>
    </row>
    <row r="5" spans="1:10" ht="14.25" customHeight="1" x14ac:dyDescent="0.25">
      <c r="A5" s="10" t="s">
        <v>155</v>
      </c>
      <c r="B5" s="8">
        <v>98745</v>
      </c>
      <c r="C5" s="10" t="s">
        <v>153</v>
      </c>
      <c r="D5" s="16">
        <v>32500</v>
      </c>
      <c r="E5" s="11" t="s">
        <v>154</v>
      </c>
      <c r="F5" s="16">
        <v>75000</v>
      </c>
      <c r="G5" s="18">
        <v>6</v>
      </c>
      <c r="H5" s="17">
        <f>F5-D5</f>
        <v>42500</v>
      </c>
    </row>
    <row r="6" spans="1:10" ht="14.25" customHeight="1" x14ac:dyDescent="0.25">
      <c r="A6" s="10"/>
      <c r="B6" s="8"/>
      <c r="C6" s="10"/>
      <c r="D6" s="16"/>
      <c r="E6" s="11"/>
      <c r="F6" s="16"/>
      <c r="G6" s="18"/>
    </row>
    <row r="7" spans="1:10" ht="14.25" customHeight="1" x14ac:dyDescent="0.25">
      <c r="A7" s="10"/>
      <c r="B7" s="8"/>
      <c r="C7" s="10"/>
      <c r="D7" s="16"/>
      <c r="E7" s="11"/>
      <c r="F7" s="16"/>
      <c r="G7" s="18"/>
    </row>
    <row r="8" spans="1:10" ht="14.25" customHeight="1" x14ac:dyDescent="0.25">
      <c r="A8" s="8"/>
      <c r="B8" s="8"/>
      <c r="C8" s="8"/>
      <c r="D8" s="16"/>
      <c r="E8" s="9"/>
      <c r="F8" s="16"/>
      <c r="G8" s="18"/>
    </row>
    <row r="9" spans="1:10" ht="14.25" customHeight="1" x14ac:dyDescent="0.25"/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conditionalFormatting sqref="A1:B1048576">
    <cfRule type="duplicateValues" dxfId="1" priority="1"/>
  </conditionalFormatting>
  <pageMargins left="0.7" right="0.7" top="0.75" bottom="0.75" header="0" footer="0"/>
  <pageSetup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3F77-B1CE-4FB8-88B6-4F581AACF78E}">
  <dimension ref="A1:J969"/>
  <sheetViews>
    <sheetView workbookViewId="0">
      <pane ySplit="3" topLeftCell="A4" activePane="bottomLeft" state="frozen"/>
      <selection pane="bottomLeft" activeCell="C22" sqref="C22"/>
    </sheetView>
  </sheetViews>
  <sheetFormatPr defaultColWidth="14.42578125" defaultRowHeight="15" customHeight="1" x14ac:dyDescent="0.25"/>
  <cols>
    <col min="1" max="1" width="10.140625" bestFit="1" customWidth="1"/>
    <col min="2" max="2" width="18.42578125" customWidth="1"/>
    <col min="3" max="3" width="36" customWidth="1"/>
    <col min="4" max="4" width="18.5703125" style="17" customWidth="1"/>
    <col min="5" max="5" width="16.5703125" customWidth="1"/>
    <col min="6" max="6" width="17" style="17" customWidth="1"/>
    <col min="7" max="7" width="8.7109375" style="19" customWidth="1"/>
    <col min="8" max="8" width="14.28515625" customWidth="1"/>
    <col min="9" max="26" width="8.7109375" customWidth="1"/>
  </cols>
  <sheetData>
    <row r="1" spans="1:10" ht="14.25" customHeight="1" x14ac:dyDescent="0.25">
      <c r="B1" s="1"/>
      <c r="C1" s="13" t="s">
        <v>160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83</v>
      </c>
      <c r="F3" s="15" t="s">
        <v>4</v>
      </c>
      <c r="G3" s="4" t="s">
        <v>161</v>
      </c>
      <c r="J3" s="7"/>
    </row>
    <row r="4" spans="1:10" ht="14.25" customHeight="1" x14ac:dyDescent="0.25">
      <c r="A4" s="10" t="s">
        <v>164</v>
      </c>
      <c r="B4" s="8">
        <v>100465</v>
      </c>
      <c r="C4" s="10" t="s">
        <v>162</v>
      </c>
      <c r="D4" s="16">
        <v>46500</v>
      </c>
      <c r="E4" s="11" t="s">
        <v>163</v>
      </c>
      <c r="F4" s="16">
        <v>100000</v>
      </c>
      <c r="G4" s="18">
        <v>4</v>
      </c>
      <c r="H4" s="17">
        <f>F4-D4</f>
        <v>53500</v>
      </c>
    </row>
    <row r="5" spans="1:10" ht="14.25" customHeight="1" x14ac:dyDescent="0.25">
      <c r="A5" s="10"/>
      <c r="B5" s="8"/>
      <c r="C5" s="10"/>
      <c r="D5" s="16"/>
      <c r="E5" s="11"/>
      <c r="F5" s="16"/>
      <c r="G5" s="18"/>
      <c r="H5" s="17">
        <f>F5-D5</f>
        <v>0</v>
      </c>
    </row>
    <row r="6" spans="1:10" ht="14.25" customHeight="1" x14ac:dyDescent="0.25">
      <c r="A6" s="10"/>
      <c r="B6" s="8"/>
      <c r="C6" s="10"/>
      <c r="D6" s="16"/>
      <c r="E6" s="11"/>
      <c r="F6" s="16"/>
      <c r="G6" s="18"/>
    </row>
    <row r="7" spans="1:10" ht="14.25" customHeight="1" x14ac:dyDescent="0.25">
      <c r="A7" s="10"/>
      <c r="B7" s="8"/>
      <c r="C7" s="10"/>
      <c r="D7" s="16"/>
      <c r="E7" s="11"/>
      <c r="F7" s="16"/>
      <c r="G7" s="18"/>
    </row>
    <row r="8" spans="1:10" ht="14.25" customHeight="1" x14ac:dyDescent="0.25">
      <c r="A8" s="8"/>
      <c r="B8" s="8"/>
      <c r="C8" s="8"/>
      <c r="D8" s="16"/>
      <c r="E8" s="9"/>
      <c r="F8" s="16"/>
      <c r="G8" s="18"/>
    </row>
    <row r="9" spans="1:10" ht="14.25" customHeight="1" x14ac:dyDescent="0.25"/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conditionalFormatting sqref="A1:B1048576">
    <cfRule type="duplicateValues" dxfId="0" priority="1"/>
  </conditionalFormatting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Kombinasi</vt:lpstr>
      <vt:lpstr>Potong</vt:lpstr>
      <vt:lpstr>Snap Ring</vt:lpstr>
      <vt:lpstr>Buaya</vt:lpstr>
      <vt:lpstr>Lancip</vt:lpstr>
      <vt:lpstr>Rivet</vt:lpstr>
      <vt:lpstr>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2026-05-23T06:11:27Z</dcterms:modified>
</cp:coreProperties>
</file>