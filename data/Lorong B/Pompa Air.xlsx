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B\"/>
    </mc:Choice>
  </mc:AlternateContent>
  <xr:revisionPtr revIDLastSave="0" documentId="13_ncr:1_{69024C58-81F6-48E3-B16C-C320B9523BB6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Air" sheetId="1" r:id="rId1"/>
    <sheet name="Alkon" sheetId="2" r:id="rId2"/>
    <sheet name="Cel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7" i="1"/>
  <c r="H8" i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EB6CB02-7C4F-4C44-AB32-45AA8A2B737B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49C0AEDD-4FC7-41E6-9F5F-C882EBDEF236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<sst xmlns="http://schemas.openxmlformats.org/spreadsheetml/2006/main" count="78" uniqueCount="62">
  <si>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</si>
  <si>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</si>
  <si>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</si>
  <si>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</si>
  <si>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</si>
  <si>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</si>
  <si>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</si>
  <si>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</si>
  <si>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POMPA AIR</t>
  </si>
  <si>
    <t>Pompa1</t>
  </si>
  <si>
    <t>Pompa2</t>
  </si>
  <si>
    <t>POMPA ALKON</t>
  </si>
  <si>
    <t>Pompa Alkon Mugen WP 50 MT 5,5 HP 2"</t>
  </si>
  <si>
    <t>Pompa Alkon NPH WP 20 2"</t>
  </si>
  <si>
    <t>Pompa Alkon NPH WP 30 3"</t>
  </si>
  <si>
    <t>Pompa Alkon Robotech WP 80 3"</t>
  </si>
  <si>
    <t>Pompa Alkon Robotech WP-30 3"</t>
  </si>
  <si>
    <t>QQRU-ADP</t>
  </si>
  <si>
    <t>RZUZ-NPH</t>
  </si>
  <si>
    <t>RQZU-NPH</t>
  </si>
  <si>
    <t>QVZZ-ADP</t>
  </si>
  <si>
    <t>Alkon1</t>
  </si>
  <si>
    <t>Alkon2</t>
  </si>
  <si>
    <t>Alkon3</t>
  </si>
  <si>
    <t>Alkon4</t>
  </si>
  <si>
    <t>Alkon5</t>
  </si>
  <si>
    <t>POMPA CELUP</t>
  </si>
  <si>
    <t>Pompa Celup RedFox DC RF-B12 12V</t>
  </si>
  <si>
    <t>Pompa Celup RedFox DC RF-B24 24V</t>
  </si>
  <si>
    <t>Pompa Celup DMY DC-12V</t>
  </si>
  <si>
    <t>QWU-SJS</t>
  </si>
  <si>
    <t>QXZ-SJS</t>
  </si>
  <si>
    <t>Pompa Celup San EI SE-105</t>
  </si>
  <si>
    <t>STS-SCM</t>
  </si>
  <si>
    <t>Celup1</t>
  </si>
  <si>
    <t>Celup2</t>
  </si>
  <si>
    <t>Celup3</t>
  </si>
  <si>
    <t>Celup4</t>
  </si>
  <si>
    <t>Sudah Upload di Sistem</t>
  </si>
  <si>
    <t>Pompa Air Shimizu PS-226 BIT</t>
  </si>
  <si>
    <t>Pompa Air Shimizu PS-128 BIT</t>
  </si>
  <si>
    <t>Pompa Air Shimizu PS-130 BIT</t>
  </si>
  <si>
    <t>Pompa3</t>
  </si>
  <si>
    <t>Pompa4</t>
  </si>
  <si>
    <t>Pompa5</t>
  </si>
  <si>
    <t>VWV-SM</t>
  </si>
  <si>
    <t>UXV-SM</t>
  </si>
  <si>
    <t>Pompa Air Shimizu PS-135 E</t>
  </si>
  <si>
    <t>Pompa Air Shimizu PS-230 BIT</t>
  </si>
  <si>
    <t>QQRT-SM</t>
  </si>
  <si>
    <t>YYU-SM</t>
  </si>
  <si>
    <t>TWXU-SM</t>
  </si>
  <si>
    <t>Pompa Air GP 125 National Stero</t>
  </si>
  <si>
    <t>Pompa Air GP 130A National Stero</t>
  </si>
  <si>
    <t>SVR-SBA</t>
  </si>
  <si>
    <t>UVU-SBA</t>
  </si>
  <si>
    <t>Pompa6</t>
  </si>
  <si>
    <t>Pompa7</t>
  </si>
  <si>
    <t>Stok</t>
  </si>
  <si>
    <t>Pompa Air Shimizu PS-116 BIT Non Auto</t>
  </si>
  <si>
    <t>TWW-SM</t>
  </si>
  <si>
    <t>Pompa8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</si>
</sst>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quotePrefix="1" applyNumberForma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0" borderId="1" xfId="0" applyFill="1" applyBorder="1" applyAlignment="1">
      <alignment horizontal="left" vertical="center"/>
    </xf>
    <xf numFmtId="42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K16"/>
  <sheetViews>
    <sheetView tabSelected="1" workbookViewId="0">
      <pane ySplit="3" topLeftCell="A4" activePane="bottomLeft" state="frozen"/>
      <selection pane="bottomLeft" activeCell="C16" sqref="C16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7.7109375" style="9" customWidth="1"/>
    <col min="5" max="5" width="15.5703125" customWidth="1"/>
    <col min="6" max="6" width="17.7109375" style="9" customWidth="1"/>
    <col min="7" max="7" width="10.42578125" style="13" customWidth="1"/>
    <col min="8" max="8" width="16.7109375" customWidth="1"/>
    <col min="10" max="10" width="7.85546875" customWidth="1"/>
  </cols>
  <sheetData>
    <row r="1" spans="1:11" x14ac:dyDescent="0.25">
      <c r="C1" s="7" t="s">
        <v>8</v>
      </c>
      <c r="J1" s="18"/>
      <c r="K1" t="s">
        <v>38</v>
      </c>
    </row>
    <row r="2" spans="1:11" x14ac:dyDescent="0.25">
      <c r="J2" s="2"/>
    </row>
    <row r="3" spans="1:11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58</v>
      </c>
      <c r="J3" s="8"/>
    </row>
    <row r="4" spans="1:11" x14ac:dyDescent="0.25">
      <c r="A4" s="5" t="s">
        <v>9</v>
      </c>
      <c r="B4" s="14">
        <v>4879321</v>
      </c>
      <c r="C4" s="19" t="s">
        <v>47</v>
      </c>
      <c r="D4" s="20">
        <v>586000</v>
      </c>
      <c r="E4" s="19" t="s">
        <v>46</v>
      </c>
      <c r="F4" s="20">
        <v>665000</v>
      </c>
      <c r="G4" s="21">
        <v>30</v>
      </c>
      <c r="H4" s="9">
        <f>F4-D4</f>
        <v>79000</v>
      </c>
    </row>
    <row r="5" spans="1:11" x14ac:dyDescent="0.25">
      <c r="A5" s="5" t="s">
        <v>10</v>
      </c>
      <c r="B5" s="14">
        <v>4879322</v>
      </c>
      <c r="C5" s="19" t="s">
        <v>48</v>
      </c>
      <c r="D5" s="20">
        <v>1124000</v>
      </c>
      <c r="E5" s="19" t="s">
        <v>49</v>
      </c>
      <c r="F5" s="20">
        <v>1350000</v>
      </c>
      <c r="G5" s="21">
        <v>20</v>
      </c>
      <c r="H5" s="9">
        <f t="shared" ref="H5:H11" si="0">F5-D5</f>
        <v>226000</v>
      </c>
    </row>
    <row r="6" spans="1:11" x14ac:dyDescent="0.25">
      <c r="A6" s="5" t="s">
        <v>42</v>
      </c>
      <c r="B6" s="14">
        <v>4879323</v>
      </c>
      <c r="C6" s="19" t="s">
        <v>39</v>
      </c>
      <c r="D6" s="20">
        <v>995000</v>
      </c>
      <c r="E6" s="19" t="s">
        <v>50</v>
      </c>
      <c r="F6" s="20">
        <v>1250000</v>
      </c>
      <c r="G6" s="21">
        <v>10</v>
      </c>
      <c r="H6" s="9">
        <f t="shared" si="0"/>
        <v>255000</v>
      </c>
    </row>
    <row r="7" spans="1:11" x14ac:dyDescent="0.25">
      <c r="A7" s="5" t="s">
        <v>43</v>
      </c>
      <c r="B7" s="14">
        <v>4879324</v>
      </c>
      <c r="C7" s="19" t="s">
        <v>40</v>
      </c>
      <c r="D7" s="20">
        <v>478500</v>
      </c>
      <c r="E7" s="19" t="s">
        <v>51</v>
      </c>
      <c r="F7" s="20">
        <v>550000</v>
      </c>
      <c r="G7" s="21">
        <v>10</v>
      </c>
      <c r="H7" s="9">
        <f t="shared" si="0"/>
        <v>71500</v>
      </c>
    </row>
    <row r="8" spans="1:11" x14ac:dyDescent="0.25">
      <c r="A8" s="5" t="s">
        <v>44</v>
      </c>
      <c r="B8" s="14">
        <v>4879325</v>
      </c>
      <c r="C8" s="19" t="s">
        <v>41</v>
      </c>
      <c r="D8" s="20">
        <v>676000</v>
      </c>
      <c r="E8" s="19" t="s">
        <v>45</v>
      </c>
      <c r="F8" s="20">
        <v>765000</v>
      </c>
      <c r="G8" s="21">
        <v>50</v>
      </c>
      <c r="H8" s="9">
        <f t="shared" si="0"/>
        <v>89000</v>
      </c>
    </row>
    <row r="9" spans="1:11" x14ac:dyDescent="0.25">
      <c r="A9" s="5" t="s">
        <v>56</v>
      </c>
      <c r="B9" s="14">
        <v>4879326</v>
      </c>
      <c r="C9" s="19" t="s">
        <v>52</v>
      </c>
      <c r="D9" s="20">
        <v>362000</v>
      </c>
      <c r="E9" s="19" t="s">
        <v>54</v>
      </c>
      <c r="F9" s="20">
        <v>475000</v>
      </c>
      <c r="G9" s="21">
        <v>4</v>
      </c>
      <c r="H9" s="9">
        <f t="shared" si="0"/>
        <v>113000</v>
      </c>
    </row>
    <row r="10" spans="1:11" x14ac:dyDescent="0.25">
      <c r="A10" s="5" t="s">
        <v>57</v>
      </c>
      <c r="B10" s="14">
        <v>4879327</v>
      </c>
      <c r="C10" s="19" t="s">
        <v>53</v>
      </c>
      <c r="D10" s="20">
        <v>565000</v>
      </c>
      <c r="E10" s="19" t="s">
        <v>55</v>
      </c>
      <c r="F10" s="20">
        <v>700000</v>
      </c>
      <c r="G10" s="21">
        <v>4</v>
      </c>
      <c r="H10" s="9">
        <f t="shared" si="0"/>
        <v>135000</v>
      </c>
    </row>
    <row r="11" spans="1:11" x14ac:dyDescent="0.25">
      <c r="A11" s="5" t="s">
        <v>61</v>
      </c>
      <c r="B11" s="14">
        <v>4879328</v>
      </c>
      <c r="C11" s="15" t="s">
        <v>59</v>
      </c>
      <c r="D11" s="16">
        <v>477000</v>
      </c>
      <c r="E11" s="15" t="s">
        <v>60</v>
      </c>
      <c r="F11" s="16">
        <v>575000</v>
      </c>
      <c r="G11" s="17">
        <v>5</v>
      </c>
      <c r="H11" s="9">
        <f t="shared" si="0"/>
        <v>98000</v>
      </c>
    </row>
    <row r="12" spans="1:11" x14ac:dyDescent="0.25">
      <c r="A12" s="5"/>
      <c r="B12" s="14"/>
      <c r="C12" s="19"/>
      <c r="D12" s="20"/>
      <c r="E12" s="19"/>
      <c r="F12" s="20"/>
      <c r="G12" s="21"/>
      <c r="H12" s="9"/>
    </row>
    <row r="13" spans="1:11" x14ac:dyDescent="0.25">
      <c r="A13" s="5"/>
      <c r="B13" s="14"/>
      <c r="C13" s="19"/>
      <c r="D13" s="20"/>
      <c r="E13" s="19"/>
      <c r="F13" s="20"/>
      <c r="G13" s="21"/>
      <c r="H13" s="9"/>
    </row>
    <row r="14" spans="1:11" x14ac:dyDescent="0.25">
      <c r="A14" s="5"/>
      <c r="B14" s="6"/>
      <c r="C14" s="5"/>
      <c r="D14" s="11"/>
      <c r="E14" s="5"/>
      <c r="F14" s="11"/>
      <c r="G14" s="12"/>
    </row>
    <row r="15" spans="1:11" x14ac:dyDescent="0.25">
      <c r="A15" s="5"/>
      <c r="B15" s="6"/>
      <c r="C15" s="5"/>
      <c r="D15" s="11"/>
      <c r="E15" s="5"/>
      <c r="F15" s="11"/>
      <c r="G15" s="12"/>
    </row>
    <row r="16" spans="1:11" x14ac:dyDescent="0.25">
      <c r="A16" s="5"/>
      <c r="B16" s="6"/>
      <c r="C16" s="5"/>
      <c r="D16" s="11"/>
      <c r="E16" s="5"/>
      <c r="F16" s="11"/>
      <c r="G16" s="12"/>
    </row>
  </sheetData>
  <phoneticPr fontId="2" type="noConversion"/>
  <conditionalFormatting sqref="A3">
    <cfRule type="duplicateValues" dxfId="17" priority="3"/>
    <cfRule type="duplicateValues" dxfId="16" priority="6"/>
  </conditionalFormatting>
  <conditionalFormatting sqref="B2:B3">
    <cfRule type="duplicateValues" dxfId="15" priority="2"/>
  </conditionalFormatting>
  <conditionalFormatting sqref="B3">
    <cfRule type="duplicateValues" dxfId="14" priority="4"/>
    <cfRule type="duplicateValues" dxfId="13" priority="5"/>
  </conditionalFormatting>
  <conditionalFormatting sqref="A1:B1048576">
    <cfRule type="duplicateValues" dxfId="1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3FE8-1F57-4FFD-8008-88D9BD7BE5DD}">
  <dimension ref="A1:J12"/>
  <sheetViews>
    <sheetView workbookViewId="0">
      <pane ySplit="3" topLeftCell="A4" activePane="bottomLeft" state="frozen"/>
      <selection pane="bottomLeft" activeCell="C12" sqref="C12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11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21</v>
      </c>
      <c r="B4" s="14">
        <v>5469874</v>
      </c>
      <c r="C4" s="5" t="s">
        <v>12</v>
      </c>
      <c r="D4" s="11">
        <v>1125000</v>
      </c>
      <c r="E4" s="5" t="s">
        <v>17</v>
      </c>
      <c r="F4" s="11">
        <v>1650000</v>
      </c>
      <c r="G4" s="12">
        <v>1</v>
      </c>
    </row>
    <row r="5" spans="1:10" x14ac:dyDescent="0.25">
      <c r="A5" s="5" t="s">
        <v>22</v>
      </c>
      <c r="B5" s="14">
        <v>5469875</v>
      </c>
      <c r="C5" s="5" t="s">
        <v>13</v>
      </c>
      <c r="D5" s="11">
        <v>2050000</v>
      </c>
      <c r="E5" s="5" t="s">
        <v>18</v>
      </c>
      <c r="F5" s="11">
        <v>2550000</v>
      </c>
      <c r="G5" s="12">
        <v>1</v>
      </c>
    </row>
    <row r="6" spans="1:10" x14ac:dyDescent="0.25">
      <c r="A6" s="5" t="s">
        <v>23</v>
      </c>
      <c r="B6" s="14">
        <v>5469876</v>
      </c>
      <c r="C6" s="5" t="s">
        <v>14</v>
      </c>
      <c r="D6" s="11">
        <v>2105000</v>
      </c>
      <c r="E6" s="5" t="s">
        <v>19</v>
      </c>
      <c r="F6" s="11">
        <v>2750000</v>
      </c>
      <c r="G6" s="12">
        <v>2</v>
      </c>
    </row>
    <row r="7" spans="1:10" x14ac:dyDescent="0.25">
      <c r="A7" s="5" t="s">
        <v>24</v>
      </c>
      <c r="B7" s="14">
        <v>5469877</v>
      </c>
      <c r="C7" s="5" t="s">
        <v>15</v>
      </c>
      <c r="D7" s="11">
        <v>1600000</v>
      </c>
      <c r="E7" s="5" t="s">
        <v>20</v>
      </c>
      <c r="F7" s="11">
        <v>2300000</v>
      </c>
      <c r="G7" s="12">
        <v>2</v>
      </c>
    </row>
    <row r="8" spans="1:10" x14ac:dyDescent="0.25">
      <c r="A8" s="5" t="s">
        <v>25</v>
      </c>
      <c r="B8" s="14">
        <v>5469878</v>
      </c>
      <c r="C8" s="5" t="s">
        <v>16</v>
      </c>
      <c r="D8" s="11">
        <v>1600000</v>
      </c>
      <c r="E8" s="5" t="s">
        <v>20</v>
      </c>
      <c r="F8" s="11">
        <v>2300000</v>
      </c>
      <c r="G8" s="12">
        <v>1</v>
      </c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11" priority="3"/>
    <cfRule type="duplicateValues" dxfId="10" priority="6"/>
  </conditionalFormatting>
  <conditionalFormatting sqref="B2:B3">
    <cfRule type="duplicateValues" dxfId="9" priority="2"/>
  </conditionalFormatting>
  <conditionalFormatting sqref="B3">
    <cfRule type="duplicateValues" dxfId="8" priority="4"/>
    <cfRule type="duplicateValues" dxfId="7" priority="5"/>
  </conditionalFormatting>
  <conditionalFormatting sqref="A1:B1048576">
    <cfRule type="duplicateValues" dxfId="6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EB7C-0138-4CDA-98E5-0CA24CFDEFF9}">
  <dimension ref="A1:J12"/>
  <sheetViews>
    <sheetView workbookViewId="0">
      <pane ySplit="3" topLeftCell="A4" activePane="bottomLeft" state="frozen"/>
      <selection pane="bottomLeft" activeCell="C11" sqref="C11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26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34</v>
      </c>
      <c r="B4" s="14">
        <v>54874326</v>
      </c>
      <c r="C4" s="5" t="s">
        <v>27</v>
      </c>
      <c r="D4" s="11">
        <v>175000</v>
      </c>
      <c r="E4" s="5" t="s">
        <v>30</v>
      </c>
      <c r="F4" s="11">
        <v>275000</v>
      </c>
      <c r="G4" s="12">
        <v>6</v>
      </c>
    </row>
    <row r="5" spans="1:10" x14ac:dyDescent="0.25">
      <c r="A5" s="5" t="s">
        <v>35</v>
      </c>
      <c r="B5" s="14">
        <v>54874327</v>
      </c>
      <c r="C5" s="5" t="s">
        <v>28</v>
      </c>
      <c r="D5" s="11">
        <v>175000</v>
      </c>
      <c r="E5" s="5" t="s">
        <v>30</v>
      </c>
      <c r="F5" s="11">
        <v>275000</v>
      </c>
      <c r="G5" s="12">
        <v>2</v>
      </c>
    </row>
    <row r="6" spans="1:10" x14ac:dyDescent="0.25">
      <c r="A6" s="5" t="s">
        <v>36</v>
      </c>
      <c r="B6" s="14">
        <v>54874328</v>
      </c>
      <c r="C6" s="5" t="s">
        <v>29</v>
      </c>
      <c r="D6" s="11">
        <v>180000</v>
      </c>
      <c r="E6" s="5" t="s">
        <v>31</v>
      </c>
      <c r="F6" s="11">
        <v>300000</v>
      </c>
      <c r="G6" s="12">
        <v>3</v>
      </c>
    </row>
    <row r="7" spans="1:10" x14ac:dyDescent="0.25">
      <c r="A7" s="5" t="s">
        <v>37</v>
      </c>
      <c r="B7" s="14">
        <v>54874329</v>
      </c>
      <c r="C7" s="5" t="s">
        <v>32</v>
      </c>
      <c r="D7" s="11">
        <v>343000</v>
      </c>
      <c r="E7" s="5" t="s">
        <v>33</v>
      </c>
      <c r="F7" s="11">
        <v>575000</v>
      </c>
      <c r="G7" s="12">
        <v>1</v>
      </c>
    </row>
    <row r="8" spans="1:10" x14ac:dyDescent="0.25">
      <c r="A8" s="5"/>
      <c r="B8" s="14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</vt:lpstr>
      <vt:lpstr>Alkon</vt:lpstr>
      <vt:lpstr>Celup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2026-05-23T03:25:58Z</dcterms:modified>
</cp:coreProperties>
</file>