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580BE00A-6A8F-49F0-99A7-11241B80739F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  <sheet name="Man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" l="1"/>
  <c r="H5" i="2"/>
  <c r="H6" i="2"/>
  <c r="H7" i="2"/>
  <c r="H4" i="2"/>
  <c r="H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19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E21E8F5A-F7BD-4083-9B40-DE3B0AE47F3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<sst xmlns="http://schemas.openxmlformats.org/spreadsheetml/2006/main" count="85" uniqueCount="79">
  <si>
    <t>Kode Item</t>
  </si>
  <si>
    <t>Barcode</t>
  </si>
  <si>
    <t>Nama Item</t>
  </si>
  <si>
    <t>Harga Pokok</t>
  </si>
  <si>
    <t>Harga Jual</t>
  </si>
  <si>
    <t>Stok Awal</t>
  </si>
  <si>
    <t>Kode Barang</t>
  </si>
  <si>
    <t>MESIN SEMPROT</t>
  </si>
  <si>
    <t>Mesin Tangki Semprot Tosita TS-769 15L</t>
  </si>
  <si>
    <t>Mesin Tangki Semprot NPH 15L</t>
  </si>
  <si>
    <t>Mesin Tangki Semprot Robotech RH-768 20L</t>
  </si>
  <si>
    <t>Mesin Tangki Semprot NPH 20L</t>
  </si>
  <si>
    <t>Mesin Tangki Semprot Tasco TF 700 15L</t>
  </si>
  <si>
    <t>Mesin Tangki Semprot Tasco TF 820 20L</t>
  </si>
  <si>
    <t>Mesin Tangki Semprot Pro Quip QBS-200 20L</t>
  </si>
  <si>
    <t>QUSU-ADP</t>
  </si>
  <si>
    <t>QSUZ-TW</t>
  </si>
  <si>
    <t>QVRU-NPH</t>
  </si>
  <si>
    <t>QVWW-ADP</t>
  </si>
  <si>
    <t>Sem1</t>
  </si>
  <si>
    <t>Sem3</t>
  </si>
  <si>
    <t>Sem2</t>
  </si>
  <si>
    <t>Sem4</t>
  </si>
  <si>
    <t>Sem5</t>
  </si>
  <si>
    <t>Sem6</t>
  </si>
  <si>
    <t>Sem7</t>
  </si>
  <si>
    <t>MESIN SEMPROT MANUAL</t>
  </si>
  <si>
    <t>Sherwan Sprayer 10L</t>
  </si>
  <si>
    <t>Manual Sprayer Takiwa TA138 13,8L</t>
  </si>
  <si>
    <t>QVW-ADP</t>
  </si>
  <si>
    <t>SVZ-NPH</t>
  </si>
  <si>
    <t>VTZ-TM</t>
  </si>
  <si>
    <t>Semprot1</t>
  </si>
  <si>
    <t>Semprot2</t>
  </si>
  <si>
    <t>Semprot3</t>
  </si>
  <si>
    <t>Tangki Semprot Cas CBA 3 in 1 16L</t>
  </si>
  <si>
    <t>Mesin Tangki Semprot Tasto TK-500 16L</t>
  </si>
  <si>
    <t>RVU-ADP</t>
  </si>
  <si>
    <t>UTZ-ADP</t>
  </si>
  <si>
    <t>XRZ-TM</t>
  </si>
  <si>
    <t>Sem8</t>
  </si>
  <si>
    <t>Sem9</t>
  </si>
  <si>
    <t>Sem10</t>
  </si>
  <si>
    <t>Power Sprayer Sanchin SC-45</t>
  </si>
  <si>
    <t>Power Sprayer Sanchin SCN-45</t>
  </si>
  <si>
    <t>RXYZ-ADP</t>
  </si>
  <si>
    <t>RVVU-ADP</t>
  </si>
  <si>
    <t>Sem11</t>
  </si>
  <si>
    <t>Sem12</t>
  </si>
  <si>
    <t>Pompa Manual PB 369</t>
  </si>
  <si>
    <t>Yamamax WB 10 XT 1"</t>
  </si>
  <si>
    <t>NPH WP 20-2"</t>
  </si>
  <si>
    <t>NPH WP 30-3"</t>
  </si>
  <si>
    <t>Robotech WP 80-3"</t>
  </si>
  <si>
    <t>Mugen WP-50MT 2"</t>
  </si>
  <si>
    <t>QSWZ-ADP</t>
  </si>
  <si>
    <t>RZUR-NPH</t>
  </si>
  <si>
    <t>RQZU-NPH</t>
  </si>
  <si>
    <t>QRRU-ADP</t>
  </si>
  <si>
    <t>Sem13</t>
  </si>
  <si>
    <t>Sem14</t>
  </si>
  <si>
    <t>Sem15</t>
  </si>
  <si>
    <t>Sem17</t>
  </si>
  <si>
    <t>Sem19</t>
  </si>
  <si>
    <t>QTWU-ADP</t>
  </si>
  <si>
    <t xml:space="preserve">Sanchin SCN-30 </t>
  </si>
  <si>
    <t>QVZT-ADP</t>
  </si>
  <si>
    <t>Sem21</t>
  </si>
  <si>
    <t>Semprot Hama Toshita 5 L</t>
  </si>
  <si>
    <t>QWZ-JMM</t>
  </si>
  <si>
    <t>Semprot4</t>
  </si>
  <si>
    <t>QXZZ-ADP</t>
  </si>
  <si>
    <t>QYTU-ADP</t>
  </si>
  <si>
    <t>Stok</t>
  </si>
  <si>
    <t>Sprayer Elektrik Targev 369</t>
  </si>
  <si>
    <t>Sprayer Elektrik Targev Bulan Bintang</t>
  </si>
  <si>
    <t>VZZ-TM</t>
  </si>
  <si>
    <t>Sem23</t>
  </si>
  <si>
    <t>QWWU-NPH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</si>
</sst>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26"/>
  <sheetViews>
    <sheetView tabSelected="1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11" customWidth="1"/>
    <col min="2" max="2" width="15.140625" style="1" customWidth="1"/>
    <col min="3" max="3" width="45.140625" customWidth="1"/>
    <col min="4" max="4" width="20.42578125" style="9" customWidth="1"/>
    <col min="5" max="5" width="16.140625" customWidth="1"/>
    <col min="6" max="6" width="18" style="9" customWidth="1"/>
    <col min="7" max="7" width="10.42578125" style="13" customWidth="1"/>
    <col min="8" max="8" width="16.28515625" customWidth="1"/>
    <col min="10" max="10" width="12.42578125" customWidth="1"/>
  </cols>
  <sheetData>
    <row r="1" spans="1:10" x14ac:dyDescent="0.25">
      <c r="C1" s="7" t="s">
        <v>7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6</v>
      </c>
      <c r="F3" s="10" t="s">
        <v>4</v>
      </c>
      <c r="G3" s="3" t="s">
        <v>73</v>
      </c>
      <c r="J3" s="8"/>
    </row>
    <row r="4" spans="1:10" x14ac:dyDescent="0.25">
      <c r="A4" s="5" t="s">
        <v>19</v>
      </c>
      <c r="B4" s="6">
        <v>32001648</v>
      </c>
      <c r="C4" s="5" t="s">
        <v>10</v>
      </c>
      <c r="D4" s="11">
        <v>1535000</v>
      </c>
      <c r="E4" s="5" t="s">
        <v>15</v>
      </c>
      <c r="F4" s="11">
        <v>1850000</v>
      </c>
      <c r="G4" s="12">
        <v>1</v>
      </c>
      <c r="H4" s="9">
        <f>F4-D4</f>
        <v>315000</v>
      </c>
    </row>
    <row r="5" spans="1:10" x14ac:dyDescent="0.25">
      <c r="A5" s="5" t="s">
        <v>21</v>
      </c>
      <c r="B5" s="6">
        <v>32001649</v>
      </c>
      <c r="C5" s="5" t="s">
        <v>8</v>
      </c>
      <c r="D5" s="11">
        <v>1350000</v>
      </c>
      <c r="E5" s="5" t="s">
        <v>16</v>
      </c>
      <c r="F5" s="11">
        <v>1650000</v>
      </c>
      <c r="G5" s="12">
        <v>1</v>
      </c>
      <c r="H5" s="9">
        <f t="shared" ref="H5:H19" si="0">F5-D5</f>
        <v>300000</v>
      </c>
    </row>
    <row r="6" spans="1:10" x14ac:dyDescent="0.25">
      <c r="A6" s="5" t="s">
        <v>20</v>
      </c>
      <c r="B6" s="6">
        <v>32001650</v>
      </c>
      <c r="C6" s="5" t="s">
        <v>9</v>
      </c>
      <c r="D6" s="11">
        <v>1625000</v>
      </c>
      <c r="E6" s="5" t="s">
        <v>17</v>
      </c>
      <c r="F6" s="11">
        <v>1975000</v>
      </c>
      <c r="G6" s="12">
        <v>3</v>
      </c>
      <c r="H6" s="9">
        <f t="shared" si="0"/>
        <v>350000</v>
      </c>
    </row>
    <row r="7" spans="1:10" x14ac:dyDescent="0.25">
      <c r="A7" s="5" t="s">
        <v>22</v>
      </c>
      <c r="B7" s="6">
        <v>32001651</v>
      </c>
      <c r="C7" s="14" t="s">
        <v>11</v>
      </c>
      <c r="D7" s="15">
        <v>1775000</v>
      </c>
      <c r="E7" s="14" t="s">
        <v>78</v>
      </c>
      <c r="F7" s="15">
        <v>2100000</v>
      </c>
      <c r="G7" s="16">
        <v>3</v>
      </c>
      <c r="H7" s="9">
        <f t="shared" si="0"/>
        <v>325000</v>
      </c>
    </row>
    <row r="8" spans="1:10" x14ac:dyDescent="0.25">
      <c r="A8" s="5" t="s">
        <v>23</v>
      </c>
      <c r="B8" s="6">
        <v>32001652</v>
      </c>
      <c r="C8" s="5" t="s">
        <v>12</v>
      </c>
      <c r="D8" s="11">
        <v>1945000</v>
      </c>
      <c r="E8" s="5" t="s">
        <v>72</v>
      </c>
      <c r="F8" s="11">
        <v>2200000</v>
      </c>
      <c r="G8" s="12">
        <v>3</v>
      </c>
      <c r="H8" s="9">
        <f t="shared" si="0"/>
        <v>255000</v>
      </c>
    </row>
    <row r="9" spans="1:10" x14ac:dyDescent="0.25">
      <c r="A9" s="5" t="s">
        <v>24</v>
      </c>
      <c r="B9" s="6">
        <v>32001653</v>
      </c>
      <c r="C9" s="5" t="s">
        <v>13</v>
      </c>
      <c r="D9" s="11">
        <v>1800000</v>
      </c>
      <c r="E9" s="5" t="s">
        <v>71</v>
      </c>
      <c r="F9" s="11">
        <v>2350000</v>
      </c>
      <c r="G9" s="12">
        <v>1</v>
      </c>
      <c r="H9" s="9">
        <f t="shared" si="0"/>
        <v>550000</v>
      </c>
    </row>
    <row r="10" spans="1:10" x14ac:dyDescent="0.25">
      <c r="A10" s="5" t="s">
        <v>25</v>
      </c>
      <c r="B10" s="6">
        <v>32001654</v>
      </c>
      <c r="C10" s="5" t="s">
        <v>14</v>
      </c>
      <c r="D10" s="11">
        <v>1677000</v>
      </c>
      <c r="E10" s="5" t="s">
        <v>18</v>
      </c>
      <c r="F10" s="11">
        <v>2000000</v>
      </c>
      <c r="G10" s="12">
        <v>4</v>
      </c>
      <c r="H10" s="9">
        <f t="shared" si="0"/>
        <v>323000</v>
      </c>
    </row>
    <row r="11" spans="1:10" x14ac:dyDescent="0.25">
      <c r="A11" s="5" t="s">
        <v>40</v>
      </c>
      <c r="B11" s="6">
        <v>32001655</v>
      </c>
      <c r="C11" s="5" t="s">
        <v>36</v>
      </c>
      <c r="D11" s="11">
        <v>265000</v>
      </c>
      <c r="E11" s="5" t="s">
        <v>37</v>
      </c>
      <c r="F11" s="11">
        <v>400000</v>
      </c>
      <c r="G11" s="12">
        <v>2</v>
      </c>
      <c r="H11" s="9">
        <f t="shared" si="0"/>
        <v>135000</v>
      </c>
    </row>
    <row r="12" spans="1:10" x14ac:dyDescent="0.25">
      <c r="A12" s="5" t="s">
        <v>41</v>
      </c>
      <c r="B12" s="6">
        <v>32001656</v>
      </c>
      <c r="C12" s="5" t="s">
        <v>35</v>
      </c>
      <c r="D12" s="11">
        <v>540000</v>
      </c>
      <c r="E12" s="5" t="s">
        <v>38</v>
      </c>
      <c r="F12" s="11">
        <v>775000</v>
      </c>
      <c r="G12" s="12">
        <v>1</v>
      </c>
      <c r="H12" s="9">
        <f t="shared" si="0"/>
        <v>235000</v>
      </c>
    </row>
    <row r="13" spans="1:10" x14ac:dyDescent="0.25">
      <c r="A13" s="5" t="s">
        <v>42</v>
      </c>
      <c r="B13" s="6">
        <v>32001657</v>
      </c>
      <c r="C13" s="5" t="s">
        <v>74</v>
      </c>
      <c r="D13" s="11">
        <v>820000</v>
      </c>
      <c r="E13" s="5" t="s">
        <v>39</v>
      </c>
      <c r="F13" s="11">
        <v>1100000</v>
      </c>
      <c r="G13" s="12">
        <v>5</v>
      </c>
      <c r="H13" s="9">
        <f t="shared" si="0"/>
        <v>280000</v>
      </c>
    </row>
    <row r="14" spans="1:10" x14ac:dyDescent="0.25">
      <c r="A14" s="5" t="s">
        <v>47</v>
      </c>
      <c r="B14" s="6">
        <v>32001658</v>
      </c>
      <c r="C14" s="5" t="s">
        <v>43</v>
      </c>
      <c r="D14" s="11">
        <v>2890000</v>
      </c>
      <c r="E14" s="5" t="s">
        <v>45</v>
      </c>
      <c r="F14" s="11">
        <v>3250000</v>
      </c>
      <c r="G14" s="12">
        <v>1</v>
      </c>
      <c r="H14" s="9">
        <f t="shared" si="0"/>
        <v>360000</v>
      </c>
    </row>
    <row r="15" spans="1:10" x14ac:dyDescent="0.25">
      <c r="A15" s="5" t="s">
        <v>48</v>
      </c>
      <c r="B15" s="6">
        <v>32001659</v>
      </c>
      <c r="C15" s="5" t="s">
        <v>44</v>
      </c>
      <c r="D15" s="11">
        <v>2665000</v>
      </c>
      <c r="E15" s="5" t="s">
        <v>46</v>
      </c>
      <c r="F15" s="11">
        <v>3100000</v>
      </c>
      <c r="G15" s="12">
        <v>1</v>
      </c>
      <c r="H15" s="9">
        <f t="shared" si="0"/>
        <v>435000</v>
      </c>
    </row>
    <row r="16" spans="1:10" x14ac:dyDescent="0.25">
      <c r="A16" s="5" t="s">
        <v>59</v>
      </c>
      <c r="B16" s="6">
        <v>32001660</v>
      </c>
      <c r="C16" s="5" t="s">
        <v>50</v>
      </c>
      <c r="D16" s="11">
        <v>1370000</v>
      </c>
      <c r="E16" s="5" t="s">
        <v>55</v>
      </c>
      <c r="F16" s="11">
        <v>1675000</v>
      </c>
      <c r="G16" s="12">
        <v>2</v>
      </c>
      <c r="H16" s="9">
        <f t="shared" si="0"/>
        <v>305000</v>
      </c>
    </row>
    <row r="17" spans="1:8" x14ac:dyDescent="0.25">
      <c r="A17" s="5" t="s">
        <v>60</v>
      </c>
      <c r="B17" s="6">
        <v>32001661</v>
      </c>
      <c r="C17" s="5" t="s">
        <v>51</v>
      </c>
      <c r="D17" s="11">
        <v>2042000</v>
      </c>
      <c r="E17" s="5" t="s">
        <v>56</v>
      </c>
      <c r="F17" s="11">
        <v>2550000</v>
      </c>
      <c r="G17" s="12">
        <v>1</v>
      </c>
      <c r="H17" s="9">
        <f t="shared" si="0"/>
        <v>508000</v>
      </c>
    </row>
    <row r="18" spans="1:8" x14ac:dyDescent="0.25">
      <c r="A18" s="5" t="s">
        <v>61</v>
      </c>
      <c r="B18" s="6">
        <v>32001662</v>
      </c>
      <c r="C18" s="5" t="s">
        <v>52</v>
      </c>
      <c r="D18" s="11">
        <v>2105000</v>
      </c>
      <c r="E18" s="5" t="s">
        <v>57</v>
      </c>
      <c r="F18" s="11">
        <v>2750000</v>
      </c>
      <c r="G18" s="12">
        <v>2</v>
      </c>
      <c r="H18" s="9">
        <f t="shared" si="0"/>
        <v>645000</v>
      </c>
    </row>
    <row r="19" spans="1:8" x14ac:dyDescent="0.25">
      <c r="A19" s="5" t="s">
        <v>62</v>
      </c>
      <c r="B19" s="6">
        <v>32001664</v>
      </c>
      <c r="C19" s="5" t="s">
        <v>54</v>
      </c>
      <c r="D19" s="11">
        <v>1225000</v>
      </c>
      <c r="E19" s="5" t="s">
        <v>58</v>
      </c>
      <c r="F19" s="11">
        <v>1650000</v>
      </c>
      <c r="G19" s="12">
        <v>1</v>
      </c>
      <c r="H19" s="9">
        <f t="shared" si="0"/>
        <v>425000</v>
      </c>
    </row>
    <row r="20" spans="1:8" x14ac:dyDescent="0.25">
      <c r="A20" s="5" t="s">
        <v>63</v>
      </c>
      <c r="B20" s="6">
        <v>32001666</v>
      </c>
      <c r="C20" s="5" t="s">
        <v>53</v>
      </c>
      <c r="D20" s="11">
        <v>1475000</v>
      </c>
      <c r="E20" s="5" t="s">
        <v>64</v>
      </c>
      <c r="F20" s="11">
        <v>2000000</v>
      </c>
      <c r="G20" s="12">
        <v>3</v>
      </c>
      <c r="H20" s="9">
        <f>F20-D20</f>
        <v>525000</v>
      </c>
    </row>
    <row r="21" spans="1:8" x14ac:dyDescent="0.25">
      <c r="A21" s="5" t="s">
        <v>67</v>
      </c>
      <c r="B21" s="6">
        <v>32001667</v>
      </c>
      <c r="C21" s="5" t="s">
        <v>65</v>
      </c>
      <c r="D21" s="11">
        <v>1604000</v>
      </c>
      <c r="E21" s="5" t="s">
        <v>66</v>
      </c>
      <c r="F21" s="11">
        <v>2500000</v>
      </c>
      <c r="G21" s="12">
        <v>1</v>
      </c>
      <c r="H21" s="9">
        <f>F21-D21</f>
        <v>896000</v>
      </c>
    </row>
    <row r="22" spans="1:8" x14ac:dyDescent="0.25">
      <c r="A22" s="5" t="s">
        <v>77</v>
      </c>
      <c r="B22" s="6">
        <v>32001668</v>
      </c>
      <c r="C22" s="5" t="s">
        <v>75</v>
      </c>
      <c r="D22" s="11">
        <v>600000</v>
      </c>
      <c r="E22" s="5" t="s">
        <v>76</v>
      </c>
      <c r="F22" s="11">
        <v>875000</v>
      </c>
      <c r="G22" s="12">
        <v>10</v>
      </c>
      <c r="H22" s="9">
        <f t="shared" ref="H22" si="1">F22-D22</f>
        <v>275000</v>
      </c>
    </row>
    <row r="23" spans="1:8" x14ac:dyDescent="0.25">
      <c r="A23" s="5"/>
      <c r="B23" s="6"/>
      <c r="C23" s="5"/>
      <c r="D23" s="11"/>
      <c r="E23" s="5"/>
      <c r="F23" s="11"/>
      <c r="G23" s="12"/>
      <c r="H23" s="9"/>
    </row>
    <row r="24" spans="1:8" x14ac:dyDescent="0.25">
      <c r="A24" s="5"/>
      <c r="B24" s="6"/>
      <c r="C24" s="5"/>
      <c r="D24" s="11"/>
      <c r="E24" s="5"/>
      <c r="F24" s="11"/>
      <c r="G24" s="12"/>
    </row>
    <row r="25" spans="1:8" x14ac:dyDescent="0.25">
      <c r="A25" s="5"/>
      <c r="B25" s="6"/>
      <c r="C25" s="5"/>
      <c r="D25" s="11"/>
      <c r="E25" s="5"/>
      <c r="F25" s="11"/>
      <c r="G25" s="12"/>
    </row>
    <row r="26" spans="1:8" x14ac:dyDescent="0.25">
      <c r="A26" s="5"/>
      <c r="B26" s="6"/>
      <c r="C26" s="5"/>
      <c r="D26" s="11"/>
      <c r="E26" s="5"/>
      <c r="F26" s="11"/>
      <c r="G26" s="12"/>
    </row>
  </sheetData>
  <phoneticPr fontId="2" type="noConversion"/>
  <conditionalFormatting sqref="A3">
    <cfRule type="duplicateValues" dxfId="11" priority="3"/>
    <cfRule type="duplicateValues" dxfId="10" priority="6"/>
  </conditionalFormatting>
  <conditionalFormatting sqref="B2:B3">
    <cfRule type="duplicateValues" dxfId="9" priority="2"/>
  </conditionalFormatting>
  <conditionalFormatting sqref="B3">
    <cfRule type="duplicateValues" dxfId="8" priority="4"/>
    <cfRule type="duplicateValues" dxfId="7" priority="5"/>
  </conditionalFormatting>
  <conditionalFormatting sqref="A1:B1048576">
    <cfRule type="duplicateValues" dxfId="6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6D05-1AF5-4C63-8A1C-3E9A86087014}">
  <dimension ref="A1:J14"/>
  <sheetViews>
    <sheetView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8" max="8" width="15.42578125" style="9" customWidth="1"/>
    <col min="10" max="10" width="12.42578125" customWidth="1"/>
  </cols>
  <sheetData>
    <row r="1" spans="1:10" x14ac:dyDescent="0.25">
      <c r="C1" s="7" t="s">
        <v>26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6</v>
      </c>
      <c r="F3" s="10" t="s">
        <v>4</v>
      </c>
      <c r="G3" s="3" t="s">
        <v>5</v>
      </c>
      <c r="J3" s="8"/>
    </row>
    <row r="4" spans="1:10" x14ac:dyDescent="0.25">
      <c r="A4" s="5" t="s">
        <v>32</v>
      </c>
      <c r="B4" s="6">
        <v>4578984</v>
      </c>
      <c r="C4" s="5" t="s">
        <v>27</v>
      </c>
      <c r="D4" s="11">
        <v>167000</v>
      </c>
      <c r="E4" s="5" t="s">
        <v>29</v>
      </c>
      <c r="F4" s="11">
        <v>275000</v>
      </c>
      <c r="G4" s="12">
        <v>10</v>
      </c>
      <c r="H4" s="9">
        <f>F4-D4</f>
        <v>108000</v>
      </c>
    </row>
    <row r="5" spans="1:10" x14ac:dyDescent="0.25">
      <c r="A5" s="5" t="s">
        <v>33</v>
      </c>
      <c r="B5" s="6">
        <v>4578985</v>
      </c>
      <c r="C5" s="5" t="s">
        <v>28</v>
      </c>
      <c r="D5" s="11">
        <v>360000</v>
      </c>
      <c r="E5" s="5" t="s">
        <v>30</v>
      </c>
      <c r="F5" s="11">
        <v>525000</v>
      </c>
      <c r="G5" s="12">
        <v>5</v>
      </c>
      <c r="H5" s="9">
        <f t="shared" ref="H5:H7" si="0">F5-D5</f>
        <v>165000</v>
      </c>
    </row>
    <row r="6" spans="1:10" x14ac:dyDescent="0.25">
      <c r="A6" s="5" t="s">
        <v>34</v>
      </c>
      <c r="B6" s="6">
        <v>4578986</v>
      </c>
      <c r="C6" s="5" t="s">
        <v>49</v>
      </c>
      <c r="D6" s="11">
        <v>640000</v>
      </c>
      <c r="E6" s="5" t="s">
        <v>31</v>
      </c>
      <c r="F6" s="11">
        <v>850000</v>
      </c>
      <c r="G6" s="12">
        <v>4</v>
      </c>
      <c r="H6" s="9">
        <f t="shared" si="0"/>
        <v>210000</v>
      </c>
    </row>
    <row r="7" spans="1:10" x14ac:dyDescent="0.25">
      <c r="A7" s="5" t="s">
        <v>70</v>
      </c>
      <c r="B7" s="6">
        <v>4578987</v>
      </c>
      <c r="C7" s="5" t="s">
        <v>68</v>
      </c>
      <c r="D7" s="11">
        <v>170000</v>
      </c>
      <c r="E7" s="5" t="s">
        <v>69</v>
      </c>
      <c r="F7" s="11">
        <v>275000</v>
      </c>
      <c r="G7" s="12">
        <v>6</v>
      </c>
      <c r="H7" s="9">
        <f t="shared" si="0"/>
        <v>105000</v>
      </c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  <row r="13" spans="1:10" x14ac:dyDescent="0.25">
      <c r="A13" s="5"/>
      <c r="B13" s="6"/>
      <c r="C13" s="5"/>
      <c r="D13" s="11"/>
      <c r="E13" s="5"/>
      <c r="F13" s="11"/>
      <c r="G13" s="12"/>
    </row>
    <row r="14" spans="1:10" x14ac:dyDescent="0.25">
      <c r="A14" s="5"/>
      <c r="B14" s="6"/>
      <c r="C14" s="5"/>
      <c r="D14" s="11"/>
      <c r="E14" s="5"/>
      <c r="F14" s="11"/>
      <c r="G14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2026-06-01T05:46:54Z</dcterms:modified>
</cp:coreProperties>
</file>